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30"/>
  <workbookPr codeName="ThisWorkbook"/>
  <mc:AlternateContent xmlns:mc="http://schemas.openxmlformats.org/markup-compatibility/2006">
    <mc:Choice Requires="x15">
      <x15ac:absPath xmlns:x15ac="http://schemas.microsoft.com/office/spreadsheetml/2010/11/ac" url="C:\13. Statistical Workshops\Monte Carlo Simulation\1.1 The Structure of this Course\Resources\"/>
    </mc:Choice>
  </mc:AlternateContent>
  <xr:revisionPtr revIDLastSave="0" documentId="13_ncr:1_{0DF702BC-433E-4C5F-BF3D-433EDF44C1CE}" xr6:coauthVersionLast="47" xr6:coauthVersionMax="47" xr10:uidLastSave="{00000000-0000-0000-0000-000000000000}"/>
  <bookViews>
    <workbookView xWindow="1050" yWindow="-120" windowWidth="20085" windowHeight="13740" xr2:uid="{00000000-000D-0000-FFFF-FFFF00000000}"/>
  </bookViews>
  <sheets>
    <sheet name="Intro" sheetId="14" r:id="rId1"/>
    <sheet name="OFFSET1" sheetId="11" r:id="rId2"/>
    <sheet name="OFFSET2" sheetId="12" r:id="rId3"/>
  </sheets>
  <externalReferences>
    <externalReference r:id="rId4"/>
  </externalReferences>
  <definedNames>
    <definedName name="_GoBack" localSheetId="0">Intro!$A$7</definedName>
    <definedName name="AC">[1]W2!$B$7:OFFSET([1]W2!$B$7,0,1,1,[1]W2!$B$14)</definedName>
    <definedName name="anscount" hidden="1">1</definedName>
    <definedName name="CPI">[1]W2!$B$12:OFFSET([1]W2!$B$12,0,1,1,[1]W2!$B$14)</definedName>
    <definedName name="CV">[1]W2!$B$10:OFFSET([1]W2!$B$10,0,1,1,[1]W2!$B$14)</definedName>
    <definedName name="DOW">OFFSET2!$B$1:$H$1</definedName>
    <definedName name="EMPLOYEES">OFFSET2!$A$2:$A$8</definedName>
    <definedName name="EV">[1]W2!$B$5:OFFSET([1]W2!$B$5,0,1,1,[1]W2!$B$14)</definedName>
    <definedName name="limcount" hidden="1">1</definedName>
    <definedName name="List1">OFFSET1!$A$2:$A$15</definedName>
    <definedName name="List2">OFFSET1!$B$2:$B$15</definedName>
    <definedName name="PV">[1]W2!$B$3:'[1]W2'!$M$3</definedName>
    <definedName name="sencount" hidden="1">1</definedName>
    <definedName name="SPI">[1]W2!$B$11:OFFSET([1]W2!$B$11,0,1,1,[1]W2!$B$14)</definedName>
    <definedName name="SV">[1]W2!$B$9:OFFSET([1]W2!$B$9,0,1,1,[1]W2!$B$14)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2" l="1"/>
  <c r="B17" i="12"/>
  <c r="B16" i="12"/>
  <c r="B15" i="12"/>
  <c r="B14" i="12"/>
  <c r="C19" i="12"/>
  <c r="C16" i="12"/>
  <c r="C14" i="12"/>
  <c r="C13" i="12"/>
  <c r="C17" i="12"/>
  <c r="C15" i="12"/>
  <c r="B19" i="12" l="1"/>
  <c r="J2" i="11"/>
  <c r="G6" i="11"/>
  <c r="G7" i="11"/>
  <c r="G8" i="11"/>
  <c r="G9" i="11"/>
  <c r="G10" i="11"/>
  <c r="G11" i="11"/>
  <c r="G12" i="11"/>
  <c r="G13" i="11"/>
  <c r="G14" i="11"/>
  <c r="G15" i="11"/>
  <c r="G2" i="11"/>
  <c r="E3" i="11"/>
  <c r="G3" i="11" s="1"/>
  <c r="E4" i="11"/>
  <c r="G4" i="11" s="1"/>
  <c r="E5" i="11"/>
  <c r="G5" i="11" s="1"/>
  <c r="E6" i="11"/>
  <c r="E7" i="11"/>
  <c r="E8" i="11"/>
  <c r="E9" i="11"/>
  <c r="E10" i="11"/>
  <c r="E11" i="11"/>
  <c r="E12" i="11"/>
  <c r="E13" i="11"/>
  <c r="E14" i="11"/>
  <c r="E15" i="11"/>
  <c r="E2" i="11"/>
  <c r="K3" i="11"/>
  <c r="K2" i="11"/>
  <c r="J3" i="11" l="1"/>
</calcChain>
</file>

<file path=xl/sharedStrings.xml><?xml version="1.0" encoding="utf-8"?>
<sst xmlns="http://schemas.openxmlformats.org/spreadsheetml/2006/main" count="59" uniqueCount="52">
  <si>
    <t>Date</t>
  </si>
  <si>
    <t>Product Name</t>
  </si>
  <si>
    <t>Price</t>
  </si>
  <si>
    <t>Oven &amp; Grills</t>
  </si>
  <si>
    <t>Air conditioner</t>
  </si>
  <si>
    <t>Computers</t>
  </si>
  <si>
    <t>Air Purifiers</t>
  </si>
  <si>
    <t>Television</t>
  </si>
  <si>
    <t>Food processor</t>
  </si>
  <si>
    <t>Mobile Phones</t>
  </si>
  <si>
    <t>Water Purifiers</t>
  </si>
  <si>
    <t>Discount</t>
  </si>
  <si>
    <t>Gross</t>
  </si>
  <si>
    <t xml:space="preserve">Net </t>
  </si>
  <si>
    <t>Qty</t>
  </si>
  <si>
    <t>Last Mths</t>
  </si>
  <si>
    <t>Average</t>
  </si>
  <si>
    <t>Offset Average</t>
  </si>
  <si>
    <t>Employee/Day</t>
  </si>
  <si>
    <t>Sun</t>
  </si>
  <si>
    <t>Mon</t>
  </si>
  <si>
    <t>Tue</t>
  </si>
  <si>
    <t>Wed</t>
  </si>
  <si>
    <t>Thu</t>
  </si>
  <si>
    <t>Fri</t>
  </si>
  <si>
    <t>Sat</t>
  </si>
  <si>
    <t>Afaf</t>
  </si>
  <si>
    <t>Aline</t>
  </si>
  <si>
    <t>Joseph</t>
  </si>
  <si>
    <t>Karim</t>
  </si>
  <si>
    <t>Munir</t>
  </si>
  <si>
    <t>Nabil</t>
  </si>
  <si>
    <t>Rima</t>
  </si>
  <si>
    <t>Day of Week</t>
  </si>
  <si>
    <t>Max</t>
  </si>
  <si>
    <t>Standard Deviation</t>
  </si>
  <si>
    <t>Count</t>
  </si>
  <si>
    <t>SUM</t>
  </si>
  <si>
    <t>Check Average</t>
  </si>
  <si>
    <t>Average G10:G15</t>
  </si>
  <si>
    <t>Applied Monte Carlo Simulation</t>
  </si>
  <si>
    <t>(An 8-Step Process)</t>
  </si>
  <si>
    <t>A UDEMY Course by Akram Najjar</t>
  </si>
  <si>
    <t>All credits and references are available in the Resources Folder</t>
  </si>
  <si>
    <t>(c) 2024 - Material in this workbook and the resource folder is the property of the author.</t>
  </si>
  <si>
    <r>
      <t xml:space="preserve">The material is part of the course and </t>
    </r>
    <r>
      <rPr>
        <b/>
        <sz val="18"/>
        <rFont val="Calibri"/>
        <family val="2"/>
      </rPr>
      <t>can only be used for your personal</t>
    </r>
    <r>
      <rPr>
        <sz val="18"/>
        <rFont val="Calibri"/>
        <family val="2"/>
      </rPr>
      <t xml:space="preserve"> use.</t>
    </r>
  </si>
  <si>
    <t>The material cannot be used for such purposes as the following without the express permission of the instructor:</t>
  </si>
  <si>
    <t>·        Inclusion in other courses or applications</t>
  </si>
  <si>
    <t>·        Use in a corporation for internal processing and training</t>
  </si>
  <si>
    <t>·        Inclusion in videos or presentations meant for commercial use</t>
  </si>
  <si>
    <t>·        Resale of the course or its material</t>
  </si>
  <si>
    <t>The instructor can be contacted via his profile on the course’s page on the UDEMY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</si>
</sst>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mmmm\ d\,\ yyyy;@"/>
    <numFmt numFmtId="165" formatCode="&quot;$&quot;#,##0"/>
    <numFmt numFmtId="166" formatCode="[$-409]d/mmm/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MS Sans Serif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</font>
    <font>
      <b/>
      <sz val="28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24"/>
      <color theme="1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64C8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0" borderId="0"/>
    <xf numFmtId="0" fontId="8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164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165" fontId="3" fillId="2" borderId="2" xfId="0" applyNumberFormat="1" applyFont="1" applyFill="1" applyBorder="1" applyAlignment="1">
      <alignment horizontal="right" vertical="center" wrapText="1"/>
    </xf>
    <xf numFmtId="0" fontId="0" fillId="0" borderId="1" xfId="0" applyBorder="1"/>
    <xf numFmtId="0" fontId="3" fillId="2" borderId="3" xfId="0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right"/>
    </xf>
    <xf numFmtId="3" fontId="0" fillId="0" borderId="1" xfId="0" applyNumberFormat="1" applyBorder="1"/>
    <xf numFmtId="0" fontId="4" fillId="2" borderId="1" xfId="1" applyFont="1" applyFill="1" applyBorder="1" applyAlignment="1">
      <alignment vertical="center"/>
    </xf>
    <xf numFmtId="0" fontId="4" fillId="2" borderId="1" xfId="1" applyFont="1" applyFill="1" applyBorder="1" applyAlignment="1">
      <alignment horizontal="right" vertical="center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5" borderId="1" xfId="0" applyFont="1" applyFill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 indent="1"/>
    </xf>
    <xf numFmtId="166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3" fontId="7" fillId="0" borderId="4" xfId="0" applyNumberFormat="1" applyFont="1" applyBorder="1" applyAlignment="1">
      <alignment horizontal="right"/>
    </xf>
    <xf numFmtId="4" fontId="7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9" fillId="6" borderId="0" xfId="6" applyFont="1" applyFill="1" applyProtection="1">
      <protection locked="0"/>
    </xf>
    <xf numFmtId="0" fontId="10" fillId="6" borderId="0" xfId="5" applyFont="1" applyFill="1" applyProtection="1">
      <protection locked="0"/>
    </xf>
    <xf numFmtId="0" fontId="11" fillId="6" borderId="0" xfId="5" applyFont="1" applyFill="1" applyProtection="1">
      <protection locked="0"/>
    </xf>
    <xf numFmtId="0" fontId="12" fillId="6" borderId="0" xfId="6" applyFont="1" applyFill="1" applyProtection="1">
      <protection locked="0"/>
    </xf>
    <xf numFmtId="0" fontId="13" fillId="0" borderId="0" xfId="6" applyFont="1" applyAlignment="1">
      <alignment vertical="center"/>
    </xf>
    <xf numFmtId="0" fontId="15" fillId="0" borderId="0" xfId="6" applyFont="1" applyAlignment="1">
      <alignment horizontal="left" vertical="center" indent="4"/>
    </xf>
    <xf numFmtId="0" fontId="13" fillId="0" borderId="0" xfId="6" applyFont="1" applyAlignment="1">
      <alignment horizontal="left" vertical="center" indent="4"/>
    </xf>
  </cellXfs>
  <cellStyles count="7">
    <cellStyle name="Currency 2" xfId="2" xr:uid="{012E4A8E-8467-47F7-832B-37F90B994140}"/>
    <cellStyle name="GreyOrWhite" xfId="3" xr:uid="{58B74B87-0C53-472D-9D72-C41AD19EF861}"/>
    <cellStyle name="Normal" xfId="0" builtinId="0"/>
    <cellStyle name="Normal 2" xfId="1" xr:uid="{AA3587FE-1946-4FE2-8BC2-6D86B9AEBB2D}"/>
    <cellStyle name="Normal 2 2" xfId="6" xr:uid="{91DB20D9-D97F-419A-9802-E8E4304FD926}"/>
    <cellStyle name="Normal 3" xfId="5" xr:uid="{08B2B7DC-477A-453A-9E70-DD2BEF2813BC}"/>
    <cellStyle name="Yellow" xfId="4" xr:uid="{D5FF8753-2A7C-4E3D-9E4E-5632363C48CA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4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604472</xdr:colOff>
      <xdr:row>3</xdr:row>
      <xdr:rowOff>126755</xdr:rowOff>
    </xdr:from>
    <xdr:ext cx="4114730" cy="37814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3A7E993-F1CF-4D0D-A15F-A0BC2D230A71}"/>
            </a:ext>
          </a:extLst>
        </xdr:cNvPr>
        <xdr:cNvSpPr txBox="1">
          <a:spLocks noChangeArrowheads="1"/>
        </xdr:cNvSpPr>
      </xdr:nvSpPr>
      <xdr:spPr bwMode="auto">
        <a:xfrm>
          <a:off x="5249741" y="698255"/>
          <a:ext cx="4114730" cy="378142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Objective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: To find the average Net Sales of the last 6 sales (bottom 6 rows). Note: 6 is found in J1.</a:t>
          </a:r>
        </a:p>
        <a:p>
          <a:pPr rtl="0"/>
          <a:endParaRPr lang="en-US" sz="1400" b="1" i="0" u="none" strike="noStrike" baseline="0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We will use OFFSET()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1) Embed OFFSET within AVERAGE in J3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2) Ref = G1 (because we only have a column)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3) Start row = a complex calculation.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If we have 14 rows, the last 6 rows start in row 9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Start row = COUNT(G:G) - J1 + 1 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COUNT(G:G) = 14 because it does not count alpha / text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14 - 6 = 8 so we add 1 = 9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Start col = 0 since we are not moving from Col G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4) To find the range to be retrieved: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Row width = J1 = 6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Col width = 1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5) Add a few rows and check the average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269183</xdr:colOff>
      <xdr:row>0</xdr:row>
      <xdr:rowOff>41415</xdr:rowOff>
    </xdr:from>
    <xdr:to>
      <xdr:col>16</xdr:col>
      <xdr:colOff>356151</xdr:colOff>
      <xdr:row>11</xdr:row>
      <xdr:rowOff>66261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90D6D7E-0C6C-4B8E-B6F1-AE6A7947B246}"/>
            </a:ext>
          </a:extLst>
        </xdr:cNvPr>
        <xdr:cNvSpPr txBox="1">
          <a:spLocks noChangeArrowheads="1"/>
        </xdr:cNvSpPr>
      </xdr:nvSpPr>
      <xdr:spPr bwMode="auto">
        <a:xfrm>
          <a:off x="4683813" y="41415"/>
          <a:ext cx="4774925" cy="221145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en-US" sz="1400" b="1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Objective: 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to use OFFSET to apply formulas on selected ranges.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1) Define name of days of week DOW = B1:H2 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2) Define name of employee col EMPLOYEES = A2:A8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3) Use Data List in B11 to select days of the week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4) Embed OFFSET within MAX in B13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5) Ref = A1 ... top corner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6) Start Row = 1, Start Col = MATCH(B11, DOW, 0) -- for WED = 4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7) Retrieve Rows = COUNTA(EMPLOYEES)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8) Retrieve Cols = COUNTA(DOW) - MATCH(B11,DOW,0)+1)</a:t>
          </a:r>
        </a:p>
        <a:p>
          <a:pPr rtl="0"/>
          <a:r>
            <a:rPr lang="en-US" sz="1400" b="0" i="0" u="none" strike="noStrike" baseline="0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t>This is = 7 - 4 + 1 (in case of WED . . . which is found in Col 4)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%20eBook%20Publishing/02.%20Practical%20Earned%20Value%20Analysis/01.%20Workouts%20and%20Templates/01.%20EVA%20-%20WORKOUTS%20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W1 EV"/>
      <sheetName val="W1 AC"/>
      <sheetName val="W2"/>
      <sheetName val="W3"/>
      <sheetName val="W4"/>
      <sheetName val="W7"/>
      <sheetName val="W8"/>
      <sheetName val="W9"/>
      <sheetName val="W10"/>
      <sheetName val="W11"/>
      <sheetName val="W12"/>
      <sheetName val="W13"/>
    </sheetNames>
    <sheetDataSet>
      <sheetData sheetId="0"/>
      <sheetData sheetId="1"/>
      <sheetData sheetId="2"/>
      <sheetData sheetId="3">
        <row r="3">
          <cell r="B3">
            <v>26</v>
          </cell>
          <cell r="M3">
            <v>172</v>
          </cell>
        </row>
        <row r="5">
          <cell r="B5">
            <v>29</v>
          </cell>
        </row>
        <row r="7">
          <cell r="B7">
            <v>21</v>
          </cell>
        </row>
        <row r="9">
          <cell r="B9">
            <v>3</v>
          </cell>
        </row>
        <row r="10">
          <cell r="B10">
            <v>8</v>
          </cell>
        </row>
        <row r="11">
          <cell r="B11">
            <v>1.1153846153846154</v>
          </cell>
        </row>
        <row r="12">
          <cell r="B12">
            <v>1.3809523809523809</v>
          </cell>
        </row>
        <row r="14">
          <cell r="B14">
            <v>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9F63-0318-428A-A4B6-A7EA886F514F}">
  <sheetPr codeName="Sheet5"/>
  <dimension ref="A1:M17"/>
  <sheetViews>
    <sheetView showGridLines="0" tabSelected="1" zoomScale="85" zoomScaleNormal="85" workbookViewId="0">
      <selection activeCell="J3" sqref="J3"/>
    </sheetView>
  </sheetViews>
  <sheetFormatPr defaultRowHeight="12.75" x14ac:dyDescent="0.2"/>
  <cols>
    <col min="1" max="16384" width="9.140625" style="28"/>
  </cols>
  <sheetData>
    <row r="1" spans="1:13" ht="36" x14ac:dyDescent="0.55000000000000004">
      <c r="A1" s="27" t="s">
        <v>40</v>
      </c>
    </row>
    <row r="2" spans="1:13" ht="36" x14ac:dyDescent="0.55000000000000004">
      <c r="A2" s="27" t="s">
        <v>41</v>
      </c>
      <c r="M2" s="29"/>
    </row>
    <row r="3" spans="1:13" ht="17.25" customHeight="1" x14ac:dyDescent="0.2"/>
    <row r="4" spans="1:13" ht="31.5" x14ac:dyDescent="0.5">
      <c r="A4" s="30" t="s">
        <v>42</v>
      </c>
    </row>
    <row r="5" spans="1:13" ht="31.5" x14ac:dyDescent="0.5">
      <c r="A5" s="30" t="s">
        <v>43</v>
      </c>
    </row>
    <row r="6" spans="1:13" ht="31.5" x14ac:dyDescent="0.5">
      <c r="A6" s="30"/>
    </row>
    <row r="7" spans="1:13" ht="21" customHeight="1" x14ac:dyDescent="0.2">
      <c r="A7" s="31" t="s">
        <v>44</v>
      </c>
    </row>
    <row r="8" spans="1:13" ht="21" customHeight="1" x14ac:dyDescent="0.2">
      <c r="A8" s="31" t="s">
        <v>45</v>
      </c>
    </row>
    <row r="9" spans="1:13" ht="21" customHeight="1" x14ac:dyDescent="0.2">
      <c r="A9" s="31" t="s">
        <v>46</v>
      </c>
    </row>
    <row r="10" spans="1:13" ht="21" customHeight="1" x14ac:dyDescent="0.2">
      <c r="A10" s="31"/>
    </row>
    <row r="11" spans="1:13" ht="21" customHeight="1" x14ac:dyDescent="0.2">
      <c r="A11" s="32" t="s">
        <v>47</v>
      </c>
    </row>
    <row r="12" spans="1:13" ht="21" customHeight="1" x14ac:dyDescent="0.2">
      <c r="A12" s="32" t="s">
        <v>48</v>
      </c>
    </row>
    <row r="13" spans="1:13" ht="21" customHeight="1" x14ac:dyDescent="0.2">
      <c r="A13" s="32" t="s">
        <v>49</v>
      </c>
    </row>
    <row r="14" spans="1:13" ht="21" customHeight="1" x14ac:dyDescent="0.2">
      <c r="A14" s="32" t="s">
        <v>50</v>
      </c>
    </row>
    <row r="15" spans="1:13" ht="21" customHeight="1" x14ac:dyDescent="0.2">
      <c r="A15" s="33"/>
    </row>
    <row r="16" spans="1:13" ht="21" customHeight="1" x14ac:dyDescent="0.2">
      <c r="A16" s="31" t="s">
        <v>51</v>
      </c>
    </row>
    <row r="17" ht="21" customHeight="1" x14ac:dyDescent="0.2"/>
  </sheetData>
  <sheetProtection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8AEF-2A28-4139-B796-B07A729AAFE8}">
  <sheetPr codeName="Sheet1"/>
  <dimension ref="A1:K15"/>
  <sheetViews>
    <sheetView showGridLines="0" zoomScale="130" zoomScaleNormal="130" workbookViewId="0">
      <selection activeCell="F18" sqref="F18"/>
    </sheetView>
  </sheetViews>
  <sheetFormatPr defaultRowHeight="19.5" x14ac:dyDescent="0.3"/>
  <cols>
    <col min="1" max="1" width="9.28515625" style="1" bestFit="1" customWidth="1"/>
    <col min="2" max="2" width="14.7109375" bestFit="1" customWidth="1"/>
    <col min="3" max="3" width="4.140625" style="2" bestFit="1" customWidth="1"/>
    <col min="4" max="4" width="6" style="2" bestFit="1" customWidth="1"/>
    <col min="5" max="5" width="8.140625" style="2" bestFit="1" customWidth="1"/>
    <col min="6" max="6" width="8.7109375" style="2" bestFit="1" customWidth="1"/>
    <col min="7" max="7" width="8.140625" style="2" bestFit="1" customWidth="1"/>
    <col min="9" max="9" width="18.85546875" customWidth="1"/>
  </cols>
  <sheetData>
    <row r="1" spans="1:11" ht="15" x14ac:dyDescent="0.25">
      <c r="A1" s="3" t="s">
        <v>0</v>
      </c>
      <c r="B1" s="4" t="s">
        <v>1</v>
      </c>
      <c r="C1" s="5" t="s">
        <v>14</v>
      </c>
      <c r="D1" s="6" t="s">
        <v>2</v>
      </c>
      <c r="E1" s="5" t="s">
        <v>12</v>
      </c>
      <c r="F1" s="5" t="s">
        <v>11</v>
      </c>
      <c r="G1" s="5" t="s">
        <v>13</v>
      </c>
      <c r="I1" s="8" t="s">
        <v>15</v>
      </c>
      <c r="J1" s="7">
        <v>6</v>
      </c>
    </row>
    <row r="2" spans="1:11" ht="15" x14ac:dyDescent="0.25">
      <c r="A2" s="21">
        <v>43101</v>
      </c>
      <c r="B2" s="22" t="s">
        <v>3</v>
      </c>
      <c r="C2" s="23">
        <v>50</v>
      </c>
      <c r="D2" s="24">
        <v>750</v>
      </c>
      <c r="E2" s="24">
        <f>D2*C2</f>
        <v>37500</v>
      </c>
      <c r="F2" s="25">
        <v>0.10394093607438799</v>
      </c>
      <c r="G2" s="24">
        <f>E2*(1-F2)</f>
        <v>33602.214897210448</v>
      </c>
      <c r="I2" s="8" t="s">
        <v>39</v>
      </c>
      <c r="J2" s="10">
        <f>AVERAGE(G10:G15)</f>
        <v>27789.253494418928</v>
      </c>
      <c r="K2" t="str">
        <f ca="1">_xlfn.FORMULATEXT(J2)</f>
        <v>=AVERAGE(G10:G15)</v>
      </c>
    </row>
    <row r="3" spans="1:11" ht="15" x14ac:dyDescent="0.25">
      <c r="A3" s="21">
        <v>43102</v>
      </c>
      <c r="B3" s="22" t="s">
        <v>4</v>
      </c>
      <c r="C3" s="23">
        <v>50</v>
      </c>
      <c r="D3" s="24">
        <v>600</v>
      </c>
      <c r="E3" s="24">
        <f t="shared" ref="E3:E15" si="0">D3*C3</f>
        <v>30000</v>
      </c>
      <c r="F3" s="25">
        <v>0.10198771977586163</v>
      </c>
      <c r="G3" s="24">
        <f t="shared" ref="G3:G15" si="1">E3*(1-F3)</f>
        <v>26940.368406724152</v>
      </c>
      <c r="I3" s="8" t="s">
        <v>17</v>
      </c>
      <c r="J3" s="9">
        <f ca="1">AVERAGE(OFFSET(G1,COUNT(G:G)-J1+1,0,J1,1))</f>
        <v>27789.253494418928</v>
      </c>
      <c r="K3" t="str">
        <f ca="1">_xlfn.FORMULATEXT(J3)</f>
        <v>=AVERAGE(OFFSET(G1,COUNT(G:G)-J1+1,0,J1,1))</v>
      </c>
    </row>
    <row r="4" spans="1:11" ht="15" x14ac:dyDescent="0.25">
      <c r="A4" s="21">
        <v>43103</v>
      </c>
      <c r="B4" s="22" t="s">
        <v>4</v>
      </c>
      <c r="C4" s="23">
        <v>70</v>
      </c>
      <c r="D4" s="24">
        <v>1800</v>
      </c>
      <c r="E4" s="24">
        <f t="shared" si="0"/>
        <v>126000</v>
      </c>
      <c r="F4" s="25">
        <v>0.19373001769014631</v>
      </c>
      <c r="G4" s="24">
        <f t="shared" si="1"/>
        <v>101590.01777104156</v>
      </c>
    </row>
    <row r="5" spans="1:11" ht="15" x14ac:dyDescent="0.25">
      <c r="A5" s="21">
        <v>43104</v>
      </c>
      <c r="B5" s="22" t="s">
        <v>6</v>
      </c>
      <c r="C5" s="23">
        <v>60</v>
      </c>
      <c r="D5" s="24">
        <v>450</v>
      </c>
      <c r="E5" s="24">
        <f t="shared" si="0"/>
        <v>27000</v>
      </c>
      <c r="F5" s="25">
        <v>0.12265936337220618</v>
      </c>
      <c r="G5" s="24">
        <f t="shared" si="1"/>
        <v>23688.197188950435</v>
      </c>
    </row>
    <row r="6" spans="1:11" ht="15" x14ac:dyDescent="0.25">
      <c r="A6" s="21">
        <v>43105</v>
      </c>
      <c r="B6" s="22" t="s">
        <v>7</v>
      </c>
      <c r="C6" s="23">
        <v>60</v>
      </c>
      <c r="D6" s="24">
        <v>1500</v>
      </c>
      <c r="E6" s="24">
        <f t="shared" si="0"/>
        <v>90000</v>
      </c>
      <c r="F6" s="25">
        <v>0.15202641596219382</v>
      </c>
      <c r="G6" s="24">
        <f t="shared" si="1"/>
        <v>76317.622563402561</v>
      </c>
    </row>
    <row r="7" spans="1:11" ht="15" x14ac:dyDescent="0.25">
      <c r="A7" s="21">
        <v>43106</v>
      </c>
      <c r="B7" s="22" t="s">
        <v>8</v>
      </c>
      <c r="C7" s="23">
        <v>60</v>
      </c>
      <c r="D7" s="24">
        <v>400</v>
      </c>
      <c r="E7" s="24">
        <f t="shared" si="0"/>
        <v>24000</v>
      </c>
      <c r="F7" s="25">
        <v>0.13813573690889377</v>
      </c>
      <c r="G7" s="24">
        <f t="shared" si="1"/>
        <v>20684.742314186547</v>
      </c>
    </row>
    <row r="8" spans="1:11" ht="15" x14ac:dyDescent="0.25">
      <c r="A8" s="21">
        <v>43107</v>
      </c>
      <c r="B8" s="22" t="s">
        <v>9</v>
      </c>
      <c r="C8" s="23">
        <v>60</v>
      </c>
      <c r="D8" s="24">
        <v>600</v>
      </c>
      <c r="E8" s="24">
        <f t="shared" si="0"/>
        <v>36000</v>
      </c>
      <c r="F8" s="25">
        <v>0.14006474401080238</v>
      </c>
      <c r="G8" s="24">
        <f t="shared" si="1"/>
        <v>30957.669215611113</v>
      </c>
    </row>
    <row r="9" spans="1:11" ht="15" x14ac:dyDescent="0.25">
      <c r="A9" s="21">
        <v>43108</v>
      </c>
      <c r="B9" s="22" t="s">
        <v>10</v>
      </c>
      <c r="C9" s="23">
        <v>50</v>
      </c>
      <c r="D9" s="24">
        <v>480</v>
      </c>
      <c r="E9" s="24">
        <f t="shared" si="0"/>
        <v>24000</v>
      </c>
      <c r="F9" s="25">
        <v>0.11751031729893631</v>
      </c>
      <c r="G9" s="24">
        <f t="shared" si="1"/>
        <v>21179.752384825526</v>
      </c>
    </row>
    <row r="10" spans="1:11" ht="15" x14ac:dyDescent="0.25">
      <c r="A10" s="21">
        <v>43109</v>
      </c>
      <c r="B10" s="22" t="s">
        <v>6</v>
      </c>
      <c r="C10" s="23">
        <v>20</v>
      </c>
      <c r="D10" s="24">
        <v>800</v>
      </c>
      <c r="E10" s="24">
        <f t="shared" si="0"/>
        <v>16000</v>
      </c>
      <c r="F10" s="25">
        <v>0.13791849762108369</v>
      </c>
      <c r="G10" s="24">
        <f t="shared" si="1"/>
        <v>13793.304038062661</v>
      </c>
    </row>
    <row r="11" spans="1:11" ht="15" x14ac:dyDescent="0.25">
      <c r="A11" s="21">
        <v>43110</v>
      </c>
      <c r="B11" s="22" t="s">
        <v>7</v>
      </c>
      <c r="C11" s="23">
        <v>50</v>
      </c>
      <c r="D11" s="24">
        <v>450</v>
      </c>
      <c r="E11" s="24">
        <f t="shared" si="0"/>
        <v>22500</v>
      </c>
      <c r="F11" s="25">
        <v>0.14937858468549936</v>
      </c>
      <c r="G11" s="24">
        <f t="shared" si="1"/>
        <v>19138.981844576265</v>
      </c>
    </row>
    <row r="12" spans="1:11" ht="15" x14ac:dyDescent="0.25">
      <c r="A12" s="21">
        <v>43111</v>
      </c>
      <c r="B12" s="22" t="s">
        <v>8</v>
      </c>
      <c r="C12" s="23">
        <v>50</v>
      </c>
      <c r="D12" s="24">
        <v>650</v>
      </c>
      <c r="E12" s="24">
        <f t="shared" si="0"/>
        <v>32500</v>
      </c>
      <c r="F12" s="25">
        <v>0.19422240227408719</v>
      </c>
      <c r="G12" s="24">
        <f t="shared" si="1"/>
        <v>26187.771926092166</v>
      </c>
    </row>
    <row r="13" spans="1:11" ht="15" x14ac:dyDescent="0.25">
      <c r="A13" s="21">
        <v>43112</v>
      </c>
      <c r="B13" s="22" t="s">
        <v>3</v>
      </c>
      <c r="C13" s="23">
        <v>30</v>
      </c>
      <c r="D13" s="24">
        <v>750</v>
      </c>
      <c r="E13" s="24">
        <f t="shared" si="0"/>
        <v>22500</v>
      </c>
      <c r="F13" s="25">
        <v>0.17816666237112569</v>
      </c>
      <c r="G13" s="24">
        <f t="shared" si="1"/>
        <v>18491.250096649674</v>
      </c>
    </row>
    <row r="14" spans="1:11" ht="15" x14ac:dyDescent="0.25">
      <c r="A14" s="21">
        <v>43113</v>
      </c>
      <c r="B14" s="22" t="s">
        <v>4</v>
      </c>
      <c r="C14" s="23">
        <v>20</v>
      </c>
      <c r="D14" s="24">
        <v>600</v>
      </c>
      <c r="E14" s="24">
        <f t="shared" si="0"/>
        <v>12000</v>
      </c>
      <c r="F14" s="25">
        <v>0.15010767546661635</v>
      </c>
      <c r="G14" s="24">
        <f t="shared" si="1"/>
        <v>10198.707894400603</v>
      </c>
    </row>
    <row r="15" spans="1:11" ht="15" x14ac:dyDescent="0.25">
      <c r="A15" s="21">
        <v>43114</v>
      </c>
      <c r="B15" s="22" t="s">
        <v>5</v>
      </c>
      <c r="C15" s="23">
        <v>50</v>
      </c>
      <c r="D15" s="24">
        <v>1800</v>
      </c>
      <c r="E15" s="24">
        <f t="shared" si="0"/>
        <v>90000</v>
      </c>
      <c r="F15" s="25">
        <v>0.12304994259186434</v>
      </c>
      <c r="G15" s="24">
        <f t="shared" si="1"/>
        <v>78925.505166732211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A436-DCE4-4A5A-83B0-449C71BC9D76}">
  <sheetPr codeName="Sheet2"/>
  <dimension ref="A1:H26"/>
  <sheetViews>
    <sheetView showGridLines="0" zoomScale="115" zoomScaleNormal="115" workbookViewId="0">
      <selection activeCell="C22" sqref="C22"/>
    </sheetView>
  </sheetViews>
  <sheetFormatPr defaultRowHeight="15.75" x14ac:dyDescent="0.25"/>
  <cols>
    <col min="1" max="1" width="19.7109375" style="13" customWidth="1"/>
    <col min="2" max="2" width="7" style="16" customWidth="1"/>
    <col min="3" max="8" width="6.5703125" style="16" customWidth="1"/>
    <col min="9" max="9" width="6" style="13" customWidth="1"/>
    <col min="10" max="16384" width="9.140625" style="13"/>
  </cols>
  <sheetData>
    <row r="1" spans="1:8" x14ac:dyDescent="0.2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</row>
    <row r="2" spans="1:8" x14ac:dyDescent="0.25">
      <c r="A2" s="14" t="s">
        <v>26</v>
      </c>
      <c r="B2" s="18">
        <v>89</v>
      </c>
      <c r="C2" s="18">
        <v>76</v>
      </c>
      <c r="D2" s="18">
        <v>65</v>
      </c>
      <c r="E2" s="18">
        <v>57</v>
      </c>
      <c r="F2" s="18">
        <v>86</v>
      </c>
      <c r="G2" s="18">
        <v>56</v>
      </c>
      <c r="H2" s="18">
        <v>78</v>
      </c>
    </row>
    <row r="3" spans="1:8" x14ac:dyDescent="0.25">
      <c r="A3" s="14" t="s">
        <v>27</v>
      </c>
      <c r="B3" s="18">
        <v>92</v>
      </c>
      <c r="C3" s="18">
        <v>69</v>
      </c>
      <c r="D3" s="18">
        <v>87</v>
      </c>
      <c r="E3" s="18">
        <v>55</v>
      </c>
      <c r="F3" s="18">
        <v>55</v>
      </c>
      <c r="G3" s="18">
        <v>60</v>
      </c>
      <c r="H3" s="18">
        <v>71</v>
      </c>
    </row>
    <row r="4" spans="1:8" x14ac:dyDescent="0.25">
      <c r="A4" s="14" t="s">
        <v>28</v>
      </c>
      <c r="B4" s="18">
        <v>83</v>
      </c>
      <c r="C4" s="18">
        <v>55</v>
      </c>
      <c r="D4" s="18">
        <v>89</v>
      </c>
      <c r="E4" s="18">
        <v>95</v>
      </c>
      <c r="F4" s="18">
        <v>59</v>
      </c>
      <c r="G4" s="18">
        <v>96</v>
      </c>
      <c r="H4" s="18">
        <v>69</v>
      </c>
    </row>
    <row r="5" spans="1:8" x14ac:dyDescent="0.25">
      <c r="A5" s="14" t="s">
        <v>29</v>
      </c>
      <c r="B5" s="18">
        <v>76</v>
      </c>
      <c r="C5" s="18">
        <v>75</v>
      </c>
      <c r="D5" s="18">
        <v>76</v>
      </c>
      <c r="E5" s="18">
        <v>93</v>
      </c>
      <c r="F5" s="18">
        <v>73</v>
      </c>
      <c r="G5" s="18">
        <v>95</v>
      </c>
      <c r="H5" s="18">
        <v>63</v>
      </c>
    </row>
    <row r="6" spans="1:8" x14ac:dyDescent="0.25">
      <c r="A6" s="14" t="s">
        <v>30</v>
      </c>
      <c r="B6" s="18">
        <v>60</v>
      </c>
      <c r="C6" s="18">
        <v>94</v>
      </c>
      <c r="D6" s="18">
        <v>99</v>
      </c>
      <c r="E6" s="18">
        <v>60</v>
      </c>
      <c r="F6" s="18">
        <v>75</v>
      </c>
      <c r="G6" s="18">
        <v>89</v>
      </c>
      <c r="H6" s="18">
        <v>81</v>
      </c>
    </row>
    <row r="7" spans="1:8" x14ac:dyDescent="0.25">
      <c r="A7" s="14" t="s">
        <v>31</v>
      </c>
      <c r="B7" s="18">
        <v>88</v>
      </c>
      <c r="C7" s="18">
        <v>79</v>
      </c>
      <c r="D7" s="18">
        <v>97</v>
      </c>
      <c r="E7" s="18">
        <v>57</v>
      </c>
      <c r="F7" s="18">
        <v>90</v>
      </c>
      <c r="G7" s="18">
        <v>85</v>
      </c>
      <c r="H7" s="18">
        <v>93</v>
      </c>
    </row>
    <row r="8" spans="1:8" x14ac:dyDescent="0.25">
      <c r="A8" s="14" t="s">
        <v>32</v>
      </c>
      <c r="B8" s="18">
        <v>79</v>
      </c>
      <c r="C8" s="18">
        <v>76</v>
      </c>
      <c r="D8" s="18">
        <v>74</v>
      </c>
      <c r="E8" s="18">
        <v>71</v>
      </c>
      <c r="F8" s="18">
        <v>98</v>
      </c>
      <c r="G8" s="18">
        <v>95</v>
      </c>
      <c r="H8" s="18">
        <v>67</v>
      </c>
    </row>
    <row r="11" spans="1:8" x14ac:dyDescent="0.25">
      <c r="A11" s="11" t="s">
        <v>33</v>
      </c>
      <c r="B11" s="15" t="s">
        <v>25</v>
      </c>
      <c r="D11" s="17"/>
    </row>
    <row r="12" spans="1:8" x14ac:dyDescent="0.25">
      <c r="D12" s="17"/>
    </row>
    <row r="13" spans="1:8" x14ac:dyDescent="0.25">
      <c r="A13" s="11" t="s">
        <v>34</v>
      </c>
      <c r="B13" s="15">
        <f ca="1">MAX(OFFSET(A1,1,MATCH(B11,DOW,0),COUNTA(EMPLOYEES),COUNTA(DOW)-MATCH(B11,DOW,0)+1))</f>
        <v>93</v>
      </c>
      <c r="C13" s="20" t="str">
        <f ca="1">_xlfn.FORMULATEXT(B13)</f>
        <v>=MAX(OFFSET(A1,1,MATCH(B11,DOW,0),COUNTA(EMPLOYEES),COUNTA(DOW)-MATCH(B11,DOW,0)+1))</v>
      </c>
      <c r="D13" s="17"/>
    </row>
    <row r="14" spans="1:8" x14ac:dyDescent="0.25">
      <c r="A14" s="11" t="s">
        <v>37</v>
      </c>
      <c r="B14" s="15">
        <f ca="1">SUM(OFFSET(A1,1,MATCH(B11,DOW,0),COUNTA(EMPLOYEES),COUNTA(DOW)-MATCH(B11,DOW,0)+1))</f>
        <v>522</v>
      </c>
      <c r="C14" s="20" t="str">
        <f t="shared" ref="C14:C19" ca="1" si="0">_xlfn.FORMULATEXT(B14)</f>
        <v>=SUM(OFFSET(A1,1,MATCH(B11,DOW,0),COUNTA(EMPLOYEES),COUNTA(DOW)-MATCH(B11,DOW,0)+1))</v>
      </c>
      <c r="D14" s="17"/>
    </row>
    <row r="15" spans="1:8" x14ac:dyDescent="0.25">
      <c r="A15" s="11" t="s">
        <v>16</v>
      </c>
      <c r="B15" s="19">
        <f ca="1">AVERAGE(OFFSET(A1,1,MATCH(B11,DOW,0),COUNTA(EMPLOYEES),COUNTA(DOW)-MATCH(B11,DOW,0)+1))</f>
        <v>74.571428571428569</v>
      </c>
      <c r="C15" s="20" t="str">
        <f t="shared" ca="1" si="0"/>
        <v>=AVERAGE(OFFSET(A1,1,MATCH(B11,DOW,0),COUNTA(EMPLOYEES),COUNTA(DOW)-MATCH(B11,DOW,0)+1))</v>
      </c>
      <c r="D15" s="17"/>
    </row>
    <row r="16" spans="1:8" x14ac:dyDescent="0.25">
      <c r="A16" s="11" t="s">
        <v>35</v>
      </c>
      <c r="B16" s="19">
        <f ca="1">_xlfn.STDEV.P(OFFSET(A1,1,MATCH(B11,DOW,0),COUNTA(EMPLOYEES),COUNTA(DOW)-MATCH(B11,DOW,0)+1))</f>
        <v>9.4696076681008865</v>
      </c>
      <c r="C16" s="20" t="str">
        <f t="shared" ca="1" si="0"/>
        <v>=STDEV.P(OFFSET(A1,1,MATCH(B11,DOW,0),COUNTA(EMPLOYEES),COUNTA(DOW)-MATCH(B11,DOW,0)+1))</v>
      </c>
      <c r="D16" s="17"/>
    </row>
    <row r="17" spans="1:4" x14ac:dyDescent="0.25">
      <c r="A17" s="11" t="s">
        <v>36</v>
      </c>
      <c r="B17" s="15">
        <f ca="1">COUNT(OFFSET(A1,1,MATCH(B11,DOW,0),COUNTA(EMPLOYEES),COUNTA(DOW)-MATCH(B11,DOW,0)+1))</f>
        <v>7</v>
      </c>
      <c r="C17" s="20" t="str">
        <f t="shared" ca="1" si="0"/>
        <v>=COUNT(OFFSET(A1,1,MATCH(B11,DOW,0),COUNTA(EMPLOYEES),COUNTA(DOW)-MATCH(B11,DOW,0)+1))</v>
      </c>
      <c r="D17" s="17"/>
    </row>
    <row r="18" spans="1:4" x14ac:dyDescent="0.25">
      <c r="C18" s="20"/>
      <c r="D18" s="17"/>
    </row>
    <row r="19" spans="1:4" x14ac:dyDescent="0.25">
      <c r="A19" s="11" t="s">
        <v>38</v>
      </c>
      <c r="B19" s="19">
        <f ca="1">B14/B17</f>
        <v>74.571428571428569</v>
      </c>
      <c r="C19" s="20" t="str">
        <f t="shared" ca="1" si="0"/>
        <v>=B14/B17</v>
      </c>
      <c r="D19" s="17"/>
    </row>
    <row r="20" spans="1:4" x14ac:dyDescent="0.25">
      <c r="D20" s="17"/>
    </row>
    <row r="21" spans="1:4" x14ac:dyDescent="0.25">
      <c r="A21" s="26"/>
      <c r="C21" s="26"/>
      <c r="D21" s="17"/>
    </row>
    <row r="22" spans="1:4" x14ac:dyDescent="0.25">
      <c r="D22" s="17"/>
    </row>
    <row r="23" spans="1:4" x14ac:dyDescent="0.25">
      <c r="D23" s="17"/>
    </row>
    <row r="24" spans="1:4" x14ac:dyDescent="0.25">
      <c r="D24" s="17"/>
    </row>
    <row r="25" spans="1:4" x14ac:dyDescent="0.25">
      <c r="D25" s="17"/>
    </row>
    <row r="26" spans="1:4" x14ac:dyDescent="0.25">
      <c r="D26" s="17"/>
    </row>
  </sheetData>
  <conditionalFormatting sqref="B2:B8">
    <cfRule type="top10" dxfId="6" priority="1" rank="1"/>
  </conditionalFormatting>
  <conditionalFormatting sqref="C2:C8">
    <cfRule type="top10" dxfId="5" priority="2" rank="1"/>
  </conditionalFormatting>
  <conditionalFormatting sqref="D2:D8">
    <cfRule type="top10" dxfId="4" priority="3" rank="1"/>
  </conditionalFormatting>
  <conditionalFormatting sqref="E2:E8">
    <cfRule type="top10" dxfId="3" priority="4" rank="1"/>
  </conditionalFormatting>
  <conditionalFormatting sqref="F2:F8">
    <cfRule type="top10" dxfId="2" priority="5" rank="1"/>
  </conditionalFormatting>
  <conditionalFormatting sqref="G2:G8">
    <cfRule type="top10" dxfId="1" priority="6" rank="1"/>
  </conditionalFormatting>
  <conditionalFormatting sqref="H2:H8">
    <cfRule type="top10" dxfId="0" priority="7" rank="1"/>
  </conditionalFormatting>
  <dataValidations count="1">
    <dataValidation type="list" allowBlank="1" showInputMessage="1" showErrorMessage="1" sqref="B11" xr:uid="{2C00357F-1B6F-4806-9266-BE66015B727A}">
      <formula1>$B$1:$H$1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Intro</vt:lpstr>
      <vt:lpstr>OFFSET1</vt:lpstr>
      <vt:lpstr>OFFSET2</vt:lpstr>
      <vt:lpstr>Intro!_GoBack</vt:lpstr>
      <vt:lpstr>DOW</vt:lpstr>
      <vt:lpstr>EMPLOYEES</vt:lpstr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Akram Najjar</cp:lastModifiedBy>
  <dcterms:created xsi:type="dcterms:W3CDTF">2015-06-05T18:17:20Z</dcterms:created>
  <dcterms:modified xsi:type="dcterms:W3CDTF">2024-06-06T17:06:51Z</dcterms:modified>
</cp:coreProperties>
</file>