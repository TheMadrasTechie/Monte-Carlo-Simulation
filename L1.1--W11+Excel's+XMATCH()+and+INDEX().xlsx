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30"/>
  <workbookPr codeName="ThisWorkbook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1 The Structure of this Course\Resources\"/>
    </mc:Choice>
  </mc:AlternateContent>
  <xr:revisionPtr revIDLastSave="0" documentId="13_ncr:1_{37415829-D244-48E6-BB16-169DAA8EA6F3}" xr6:coauthVersionLast="47" xr6:coauthVersionMax="47" xr10:uidLastSave="{00000000-0000-0000-0000-000000000000}"/>
  <bookViews>
    <workbookView xWindow="1050" yWindow="-120" windowWidth="20085" windowHeight="13740" xr2:uid="{00000000-000D-0000-FFFF-FFFF00000000}"/>
  </bookViews>
  <sheets>
    <sheet name="Intro" sheetId="13" r:id="rId1"/>
    <sheet name="MATCH" sheetId="5" r:id="rId2"/>
    <sheet name="INDEX1" sheetId="6" r:id="rId3"/>
    <sheet name="INDEX2" sheetId="8" r:id="rId4"/>
    <sheet name="INDEX3" sheetId="9" r:id="rId5"/>
    <sheet name="INDEX4" sheetId="10" r:id="rId6"/>
    <sheet name="INDEX5" sheetId="11" r:id="rId7"/>
  </sheets>
  <externalReferences>
    <externalReference r:id="rId8"/>
  </externalReferences>
  <definedNames>
    <definedName name="_GoBack" localSheetId="0">Intro!$A$7</definedName>
    <definedName name="AC">[1]W2!$B$7:OFFSET([1]W2!$B$7,0,1,1,[1]W2!$B$14)</definedName>
    <definedName name="anscount" hidden="1">1</definedName>
    <definedName name="BeirutOutside">INDEX4!$B$2:$E$4,INDEX4!$B$7:$E$9</definedName>
    <definedName name="CPI">[1]W2!$B$12:OFFSET([1]W2!$B$12,0,1,1,[1]W2!$B$14)</definedName>
    <definedName name="CV">[1]W2!$B$10:OFFSET([1]W2!$B$10,0,1,1,[1]W2!$B$14)</definedName>
    <definedName name="EV">[1]W2!$B$5:OFFSET([1]W2!$B$5,0,1,1,[1]W2!$B$14)</definedName>
    <definedName name="limcount" hidden="1">1</definedName>
    <definedName name="List1">INDEX5!$A$2:$A$201</definedName>
    <definedName name="List2">INDEX5!$B$2:$B$191</definedName>
    <definedName name="PV">[1]W2!$B$3:'[1]W2'!$M$3</definedName>
    <definedName name="sencount" hidden="1">1</definedName>
    <definedName name="SPI">[1]W2!$B$11:OFFSET([1]W2!$B$11,0,1,1,[1]W2!$B$14)</definedName>
    <definedName name="SV">[1]W2!$B$9:OFFSET([1]W2!$B$9,0,1,1,[1]W2!$B$14)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1" i="11" l="1"/>
  <c r="D200" i="11"/>
  <c r="D199" i="11"/>
  <c r="D198" i="11"/>
  <c r="D197" i="11"/>
  <c r="D196" i="11"/>
  <c r="D195" i="11"/>
  <c r="D194" i="11"/>
  <c r="D193" i="11"/>
  <c r="D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D15" i="10" l="1"/>
  <c r="C6" i="10"/>
  <c r="D6" i="10"/>
  <c r="E6" i="10"/>
  <c r="B6" i="10"/>
  <c r="A8" i="10"/>
  <c r="A9" i="10"/>
  <c r="A7" i="10"/>
  <c r="E15" i="10"/>
  <c r="B11" i="9" l="1" a="1"/>
  <c r="B11" i="9" s="1"/>
  <c r="J2" i="9" a="1"/>
  <c r="J2" i="9" s="1"/>
  <c r="D9" i="9"/>
  <c r="B12" i="8"/>
  <c r="B11" i="8"/>
  <c r="I5" i="8"/>
  <c r="D9" i="8"/>
  <c r="B14" i="8"/>
  <c r="B15" i="8"/>
  <c r="C12" i="8"/>
  <c r="C15" i="8"/>
  <c r="C14" i="8"/>
  <c r="C11" i="8"/>
  <c r="H11" i="9" l="1"/>
  <c r="G11" i="9"/>
  <c r="F11" i="9"/>
  <c r="E11" i="9"/>
  <c r="D11" i="9"/>
  <c r="C11" i="9"/>
  <c r="J7" i="9"/>
  <c r="J5" i="9"/>
  <c r="J4" i="9"/>
  <c r="J8" i="9"/>
  <c r="J6" i="9"/>
  <c r="J3" i="9"/>
  <c r="B15" i="6"/>
  <c r="C22" i="5"/>
  <c r="C15" i="6"/>
  <c r="C18" i="5" l="1"/>
  <c r="C14" i="5"/>
  <c r="C13" i="5"/>
  <c r="D14" i="5"/>
  <c r="D22" i="5"/>
  <c r="D13" i="5"/>
  <c r="D18" i="5"/>
</calcChain>
</file>

<file path=xl/sharedStrings.xml><?xml version="1.0" encoding="utf-8"?>
<sst xmlns="http://schemas.openxmlformats.org/spreadsheetml/2006/main" count="503" uniqueCount="434">
  <si>
    <t>Sun</t>
  </si>
  <si>
    <t>Mon</t>
  </si>
  <si>
    <t>Tue</t>
  </si>
  <si>
    <t>Wed</t>
  </si>
  <si>
    <t>Thu</t>
  </si>
  <si>
    <t>Fri</t>
  </si>
  <si>
    <t>Sat</t>
  </si>
  <si>
    <t>Nabil</t>
  </si>
  <si>
    <t>Aline</t>
  </si>
  <si>
    <t>Karim</t>
  </si>
  <si>
    <t>Afaf</t>
  </si>
  <si>
    <t>Joseph</t>
  </si>
  <si>
    <t>Munir</t>
  </si>
  <si>
    <t>Rima</t>
  </si>
  <si>
    <t>Employee/Day</t>
  </si>
  <si>
    <t>Employee</t>
  </si>
  <si>
    <t>Day</t>
  </si>
  <si>
    <t>Tues Errors</t>
  </si>
  <si>
    <t>MATCH() Largest Value = or &lt; than lookup Value</t>
  </si>
  <si>
    <t>MATCH() Smallest Value = or &gt; than lookup Value</t>
  </si>
  <si>
    <t>MATCH() Exact Values</t>
  </si>
  <si>
    <t xml:space="preserve">INDEX </t>
  </si>
  <si>
    <t>Index NO ROW</t>
  </si>
  <si>
    <t>Index NO COL</t>
  </si>
  <si>
    <t>Sum Karim's Row</t>
  </si>
  <si>
    <t>Sum Tue's Col</t>
  </si>
  <si>
    <t>Tues</t>
  </si>
  <si>
    <t>Qtr1</t>
  </si>
  <si>
    <t>Qtr2</t>
  </si>
  <si>
    <t>Qtr3</t>
  </si>
  <si>
    <t>Qtr4</t>
  </si>
  <si>
    <t>Deposits</t>
  </si>
  <si>
    <t>Overdrafts</t>
  </si>
  <si>
    <t>Beirut</t>
  </si>
  <si>
    <t>OutSideBeirut</t>
  </si>
  <si>
    <t>Cards</t>
  </si>
  <si>
    <t>The result</t>
  </si>
  <si>
    <t xml:space="preserve">Select a Product </t>
  </si>
  <si>
    <t>Select a Quarter</t>
  </si>
  <si>
    <t>Select Beirut or Outside</t>
  </si>
  <si>
    <t>List1</t>
  </si>
  <si>
    <t>List2</t>
  </si>
  <si>
    <t>Check 1 vs 2</t>
  </si>
  <si>
    <t>Check 2 vs 1</t>
  </si>
  <si>
    <t>Riad Chamoun</t>
  </si>
  <si>
    <t>Mirna Hart</t>
  </si>
  <si>
    <t>Nour Mneimneh</t>
  </si>
  <si>
    <t>Sami Hamza</t>
  </si>
  <si>
    <t>Nada Salti</t>
  </si>
  <si>
    <t>Nabiha Haber</t>
  </si>
  <si>
    <t>Zena Geagea</t>
  </si>
  <si>
    <t>George Bassil</t>
  </si>
  <si>
    <t>Sarine Farhat</t>
  </si>
  <si>
    <t>Nada Charafedine</t>
  </si>
  <si>
    <t>May Chahal</t>
  </si>
  <si>
    <t>Osama Shehabi</t>
  </si>
  <si>
    <t>Reem Asswad</t>
  </si>
  <si>
    <t>Rana Khauli</t>
  </si>
  <si>
    <t>Marisa Salman</t>
  </si>
  <si>
    <t>Vida Mokbel</t>
  </si>
  <si>
    <t>Micheline Bou Dergham</t>
  </si>
  <si>
    <t>Randa Beydoun</t>
  </si>
  <si>
    <t>Haykal Asfour</t>
  </si>
  <si>
    <t>Zeina Khoury</t>
  </si>
  <si>
    <t>Nathalie Khoury</t>
  </si>
  <si>
    <t>Saeed Zaroubi</t>
  </si>
  <si>
    <t>Hana Elia</t>
  </si>
  <si>
    <t>Rosine Kulke</t>
  </si>
  <si>
    <t>Diane Naccache</t>
  </si>
  <si>
    <t>Nabil Doumit</t>
  </si>
  <si>
    <t>Nisrine Barakat</t>
  </si>
  <si>
    <t>Joseph Moufarrege</t>
  </si>
  <si>
    <t>Lida Rock</t>
  </si>
  <si>
    <t>Randa Awkal</t>
  </si>
  <si>
    <t>Kaissar Wickham</t>
  </si>
  <si>
    <t>Leila Koleilat</t>
  </si>
  <si>
    <t>Jihad Artinian</t>
  </si>
  <si>
    <t>Samir Kabbani</t>
  </si>
  <si>
    <t>Rania Araman</t>
  </si>
  <si>
    <t>Hind Ariss</t>
  </si>
  <si>
    <t>Anita Saadeh</t>
  </si>
  <si>
    <t>George Hage</t>
  </si>
  <si>
    <t>Diane Chemaly</t>
  </si>
  <si>
    <t>Ziad Allawzi</t>
  </si>
  <si>
    <t>Beba Brooks</t>
  </si>
  <si>
    <t>Yamanna Abu-Izzeddine</t>
  </si>
  <si>
    <t>George Fakhoury</t>
  </si>
  <si>
    <t>Anne-Claire Nasr</t>
  </si>
  <si>
    <t>May Ghandour</t>
  </si>
  <si>
    <t>Chawki Takieddine</t>
  </si>
  <si>
    <t>Thierry Mansour</t>
  </si>
  <si>
    <t>Iante Kabbara</t>
  </si>
  <si>
    <t>Joe Kronfol</t>
  </si>
  <si>
    <t>Jumana Freije-Makdessi</t>
  </si>
  <si>
    <t>Tony ElKhoury</t>
  </si>
  <si>
    <t>Nesrine Salloum</t>
  </si>
  <si>
    <t>Nayla Morello</t>
  </si>
  <si>
    <t>Mhammad mzayek</t>
  </si>
  <si>
    <t>Lamia Zobeir</t>
  </si>
  <si>
    <t>Muriel Haddad</t>
  </si>
  <si>
    <t>Nahla Malouf</t>
  </si>
  <si>
    <t>Abdallah Kayle</t>
  </si>
  <si>
    <t>Samira Jammal</t>
  </si>
  <si>
    <t>Nabila Feghali</t>
  </si>
  <si>
    <t>Manal Mady</t>
  </si>
  <si>
    <t>Ramzi Denov</t>
  </si>
  <si>
    <t>Sami Diaz</t>
  </si>
  <si>
    <t>Karim Chebaro</t>
  </si>
  <si>
    <t>Souhair Ghanem</t>
  </si>
  <si>
    <t>Fadoie Najjar</t>
  </si>
  <si>
    <t>Balkis Abulhosn</t>
  </si>
  <si>
    <t>Randa srour</t>
  </si>
  <si>
    <t>Noha Najem</t>
  </si>
  <si>
    <t>Ayman Thebian</t>
  </si>
  <si>
    <t>Nassar Jabre</t>
  </si>
  <si>
    <t>Eda Abdallah</t>
  </si>
  <si>
    <t>Riham Kahil</t>
  </si>
  <si>
    <t>Georges Maalouf</t>
  </si>
  <si>
    <t>Claude Zurub</t>
  </si>
  <si>
    <t>Hyam Thoumy</t>
  </si>
  <si>
    <t>Amal Masboungi</t>
  </si>
  <si>
    <t>Dr. Samir Saad</t>
  </si>
  <si>
    <t>May Turkieh</t>
  </si>
  <si>
    <t>Nasser Abou Ali</t>
  </si>
  <si>
    <t>Salima Mishalany</t>
  </si>
  <si>
    <t>Hasan Hamady</t>
  </si>
  <si>
    <t>Issam Chebaro</t>
  </si>
  <si>
    <t>Leila Wazir</t>
  </si>
  <si>
    <t>Raghida Kassir</t>
  </si>
  <si>
    <t>Amer Hammond</t>
  </si>
  <si>
    <t>Huda Farah</t>
  </si>
  <si>
    <t>Ziad Koussa</t>
  </si>
  <si>
    <t>Bouchra Hajj</t>
  </si>
  <si>
    <t>Joseph Mahmoud</t>
  </si>
  <si>
    <t>Hayat Jeha</t>
  </si>
  <si>
    <t>May Soumi</t>
  </si>
  <si>
    <t>Wadad Tushan</t>
  </si>
  <si>
    <t>Christa Awada</t>
  </si>
  <si>
    <t>Ghia Hamdan</t>
  </si>
  <si>
    <t>Carlos De Caneva</t>
  </si>
  <si>
    <t>Danuta Ammoun</t>
  </si>
  <si>
    <t>Diana Chalhoub</t>
  </si>
  <si>
    <t>Shahé Tarazi</t>
  </si>
  <si>
    <t>Hoda Khalaf</t>
  </si>
  <si>
    <t>Sana Sukkar</t>
  </si>
  <si>
    <t>Grace John</t>
  </si>
  <si>
    <t>Karim Marcus</t>
  </si>
  <si>
    <t>Carmen Nahas</t>
  </si>
  <si>
    <t>Ahmad Beydoun</t>
  </si>
  <si>
    <t>Charbel Yamout</t>
  </si>
  <si>
    <t>May Asfour</t>
  </si>
  <si>
    <t>Maram Bahout</t>
  </si>
  <si>
    <t>Samira Fahs</t>
  </si>
  <si>
    <t>Mona Azar</t>
  </si>
  <si>
    <t>Nadine Choucair</t>
  </si>
  <si>
    <t>Cherine Nohra</t>
  </si>
  <si>
    <t>Mounah Beydoun</t>
  </si>
  <si>
    <t>Youssef Srouji</t>
  </si>
  <si>
    <t>Leila Dyer</t>
  </si>
  <si>
    <t>Aida Makkawi</t>
  </si>
  <si>
    <t>Walid Halabi</t>
  </si>
  <si>
    <t>Hala Kabbani</t>
  </si>
  <si>
    <t>Rima Halabi</t>
  </si>
  <si>
    <t>Racha Rayes</t>
  </si>
  <si>
    <t>Lina Chamandi</t>
  </si>
  <si>
    <t>Suleiman Bsat</t>
  </si>
  <si>
    <t>Marwa Raffoul</t>
  </si>
  <si>
    <t>Sonia Abinakle</t>
  </si>
  <si>
    <t>Khaled khalaf</t>
  </si>
  <si>
    <t>Maha Daya</t>
  </si>
  <si>
    <t>Susan Zouain</t>
  </si>
  <si>
    <t>Ahmad Codie</t>
  </si>
  <si>
    <t>Souad Nassar</t>
  </si>
  <si>
    <t>Iman Chbeir</t>
  </si>
  <si>
    <t>Ranwa Hawa</t>
  </si>
  <si>
    <t>Farid Zein</t>
  </si>
  <si>
    <t>Marie-Claude Kamel</t>
  </si>
  <si>
    <t>Mohammed Shehadeh</t>
  </si>
  <si>
    <t>Ghada Ghandour</t>
  </si>
  <si>
    <t>Zeina Abou-Rahmeh</t>
  </si>
  <si>
    <t>Myrna Lahham</t>
  </si>
  <si>
    <t>Manal Nassif</t>
  </si>
  <si>
    <t>Khalil Beydoun</t>
  </si>
  <si>
    <t>Wahib Alameddine</t>
  </si>
  <si>
    <t>Jessica Saadeh</t>
  </si>
  <si>
    <t>Fabienne Ghaddar</t>
  </si>
  <si>
    <t>Zein ElSaliby</t>
  </si>
  <si>
    <t>Angus Boulos</t>
  </si>
  <si>
    <t>Zuhair Idriss</t>
  </si>
  <si>
    <t>Therese Akoury</t>
  </si>
  <si>
    <t>Mohammad Madi-Skaff</t>
  </si>
  <si>
    <t>Gladys Adra</t>
  </si>
  <si>
    <t>Adessa Kathy Howrani</t>
  </si>
  <si>
    <t>Hanka El-Omari</t>
  </si>
  <si>
    <t>Rabab Bakaev</t>
  </si>
  <si>
    <t>Joumana Ambirss</t>
  </si>
  <si>
    <t>Paul Mhanna</t>
  </si>
  <si>
    <t>Gaby Moukheiber</t>
  </si>
  <si>
    <t>Rami Ghusayni</t>
  </si>
  <si>
    <t>Patricia Kouyoumidjian</t>
  </si>
  <si>
    <t>Najwa Choueiri</t>
  </si>
  <si>
    <t>Maud Tarazi</t>
  </si>
  <si>
    <t>Leila Abu-Haydar</t>
  </si>
  <si>
    <t>Tracey Hamadeh</t>
  </si>
  <si>
    <t>Andre Barkett</t>
  </si>
  <si>
    <t>Diran Nahas</t>
  </si>
  <si>
    <t>Zeina Salaam</t>
  </si>
  <si>
    <t>Safia Khammar</t>
  </si>
  <si>
    <t>Katy Soueidan</t>
  </si>
  <si>
    <t>Hassan Aintablian</t>
  </si>
  <si>
    <t>Ruweida Solh</t>
  </si>
  <si>
    <t>Tony Nader</t>
  </si>
  <si>
    <t>Hoda Zantout</t>
  </si>
  <si>
    <t>Maya Angeloni</t>
  </si>
  <si>
    <t>Patricia Rassi</t>
  </si>
  <si>
    <t>Christian Sibai</t>
  </si>
  <si>
    <t>Joumana Fani</t>
  </si>
  <si>
    <t>Lina Sawaya</t>
  </si>
  <si>
    <t>John Habib</t>
  </si>
  <si>
    <t>Emilie Haddad</t>
  </si>
  <si>
    <t>Hiba Cortas</t>
  </si>
  <si>
    <t>Raafat Jabre</t>
  </si>
  <si>
    <t>Lamia Fattouh</t>
  </si>
  <si>
    <t>Lina Adra</t>
  </si>
  <si>
    <t>Salma Kurdi</t>
  </si>
  <si>
    <t>Andre Samuel</t>
  </si>
  <si>
    <t>Joyce Alok</t>
  </si>
  <si>
    <t>Ramez Nader</t>
  </si>
  <si>
    <t>Isabelle Kiblawi</t>
  </si>
  <si>
    <t>Mona Jallad</t>
  </si>
  <si>
    <t>Mona Kazma</t>
  </si>
  <si>
    <t>Joe Zoghbi</t>
  </si>
  <si>
    <t>Dorothy Majed</t>
  </si>
  <si>
    <t>Bilal Aoun</t>
  </si>
  <si>
    <t>Christine Tueny</t>
  </si>
  <si>
    <t>Arwa El-Zein</t>
  </si>
  <si>
    <t>Najat Haddad</t>
  </si>
  <si>
    <t>Nabil Nassar</t>
  </si>
  <si>
    <t>Sami Daoud</t>
  </si>
  <si>
    <t>Rola Haddad</t>
  </si>
  <si>
    <t>Mirna El-Kadi</t>
  </si>
  <si>
    <t>Lena Trad</t>
  </si>
  <si>
    <t>Asma Baalbaki</t>
  </si>
  <si>
    <t>Inayat Shebaya</t>
  </si>
  <si>
    <t>Leila Koujok</t>
  </si>
  <si>
    <t>Afaf Rbeiz</t>
  </si>
  <si>
    <t>Nada Baramki</t>
  </si>
  <si>
    <t>Hiba Ghanem</t>
  </si>
  <si>
    <t>Hanna Stephan</t>
  </si>
  <si>
    <t>Gabriella Nasser</t>
  </si>
  <si>
    <t>Lena El-Hassan</t>
  </si>
  <si>
    <t>Vicky Moubassali</t>
  </si>
  <si>
    <t>Ghina Jarrar</t>
  </si>
  <si>
    <t>Grace Ghamica</t>
  </si>
  <si>
    <t>Ramzi Tome</t>
  </si>
  <si>
    <t>Suha Malkoun</t>
  </si>
  <si>
    <t>Dori Atallah</t>
  </si>
  <si>
    <t>Dominique Maghribi</t>
  </si>
  <si>
    <t>Roula Boyadjian</t>
  </si>
  <si>
    <t>Nida Kidess</t>
  </si>
  <si>
    <t>Manal Tutunjian</t>
  </si>
  <si>
    <t>Wafa Weber</t>
  </si>
  <si>
    <t>Ghiwa Jarrar</t>
  </si>
  <si>
    <t>Hala Mora</t>
  </si>
  <si>
    <t>Ziad Moussallem</t>
  </si>
  <si>
    <t>Ferial Haddad</t>
  </si>
  <si>
    <t>Labiba Mansour</t>
  </si>
  <si>
    <t>Alison Charafeddine</t>
  </si>
  <si>
    <t>Nicole Bechara</t>
  </si>
  <si>
    <t>Lamia Sayad</t>
  </si>
  <si>
    <t>Michelle Saade</t>
  </si>
  <si>
    <t>Maureen Allouch</t>
  </si>
  <si>
    <t>Joyce Tawk</t>
  </si>
  <si>
    <t>Khaldoun Khauli</t>
  </si>
  <si>
    <t>Roberta Jazo</t>
  </si>
  <si>
    <t>Zeina Sabbagh</t>
  </si>
  <si>
    <t>Samia Semaan</t>
  </si>
  <si>
    <t>May Shami</t>
  </si>
  <si>
    <t>Isabelle Hatem</t>
  </si>
  <si>
    <t>Zayan Maalouf</t>
  </si>
  <si>
    <t>Said Selwane</t>
  </si>
  <si>
    <t>Danielle Rassi</t>
  </si>
  <si>
    <t>Yousef Awaida</t>
  </si>
  <si>
    <t>George Khoury</t>
  </si>
  <si>
    <t>Moustafa Cortas</t>
  </si>
  <si>
    <t>Sima Zeinati</t>
  </si>
  <si>
    <t>Nakhoul Gardiner</t>
  </si>
  <si>
    <t>Ghina Stephan</t>
  </si>
  <si>
    <t>Gladys Wensley</t>
  </si>
  <si>
    <t>Michel Kaissi</t>
  </si>
  <si>
    <t>Mira Kadi</t>
  </si>
  <si>
    <t>Iman Sinno</t>
  </si>
  <si>
    <t>Dr. Michel Chami</t>
  </si>
  <si>
    <t>Shafika FIANI</t>
  </si>
  <si>
    <t>Yavuz Ramadan</t>
  </si>
  <si>
    <t>Talar El yafi</t>
  </si>
  <si>
    <t>Amalia Abtour</t>
  </si>
  <si>
    <t>Walif Bou-Ghanem</t>
  </si>
  <si>
    <t>Sumaya Fattal</t>
  </si>
  <si>
    <t>Rasha Saab</t>
  </si>
  <si>
    <t>May Sabah</t>
  </si>
  <si>
    <t>Elyssa Tueni</t>
  </si>
  <si>
    <t>Melhem Dabbagh</t>
  </si>
  <si>
    <t>Lina Khoury</t>
  </si>
  <si>
    <t>Marie-Rita Seikaly</t>
  </si>
  <si>
    <t>Khalil Saidi</t>
  </si>
  <si>
    <t>Mouna Beydoun</t>
  </si>
  <si>
    <t>Ricardo Al-Hage</t>
  </si>
  <si>
    <t>Raghda Fawaz</t>
  </si>
  <si>
    <t>Jumana Geagea</t>
  </si>
  <si>
    <t>Gabriel Sayed-Ahmad</t>
  </si>
  <si>
    <t>Carol Richani</t>
  </si>
  <si>
    <t>Joelle Khodr</t>
  </si>
  <si>
    <t>Sherine Bacha</t>
  </si>
  <si>
    <t>Mona Saeedi</t>
  </si>
  <si>
    <t>Salam Chehab</t>
  </si>
  <si>
    <t>Dr. Mustafa Klink</t>
  </si>
  <si>
    <t>Jana Hanania</t>
  </si>
  <si>
    <t>Azza Daouk</t>
  </si>
  <si>
    <t>Maysa Sacy</t>
  </si>
  <si>
    <t>Helene Kakhia</t>
  </si>
  <si>
    <t>Sofia Abi Akar</t>
  </si>
  <si>
    <t>Arda Hamadeh</t>
  </si>
  <si>
    <t>Faez Sibai</t>
  </si>
  <si>
    <t>Marie-Isabelle Saadeh</t>
  </si>
  <si>
    <t>Saleh Dreik</t>
  </si>
  <si>
    <t>Marie-Simon Jabbur</t>
  </si>
  <si>
    <t>Nicole Osman</t>
  </si>
  <si>
    <t>Isabel Abdul-Samad</t>
  </si>
  <si>
    <t>Jihan Melki</t>
  </si>
  <si>
    <t>Hind Amara</t>
  </si>
  <si>
    <t>Fouad Mousfi</t>
  </si>
  <si>
    <t>Rayane Osseiran</t>
  </si>
  <si>
    <t>Tony Badaro</t>
  </si>
  <si>
    <t>Ruth Ibrahim</t>
  </si>
  <si>
    <t>Nawal Makarem</t>
  </si>
  <si>
    <t>Raed El-Jiryes</t>
  </si>
  <si>
    <t>Rana Ayub</t>
  </si>
  <si>
    <t>Laila El-Hibri</t>
  </si>
  <si>
    <t>Maryam Rantisi</t>
  </si>
  <si>
    <t>Haitham Haddad</t>
  </si>
  <si>
    <t>Nelly Haddad</t>
  </si>
  <si>
    <t>Amal El-Shaar</t>
  </si>
  <si>
    <t>Nabil Samaha</t>
  </si>
  <si>
    <t>Hanna Freiwah</t>
  </si>
  <si>
    <t>Aya Elsa Zaroubi</t>
  </si>
  <si>
    <t>Nahed Shoujah</t>
  </si>
  <si>
    <t>Mona Sadek</t>
  </si>
  <si>
    <t>Hassane AlWard</t>
  </si>
  <si>
    <t>Maya Salloum</t>
  </si>
  <si>
    <t>Nabil Boladian</t>
  </si>
  <si>
    <t>Gina Khoury</t>
  </si>
  <si>
    <t>Michel Ashkar</t>
  </si>
  <si>
    <t>Mohamad Ayash</t>
  </si>
  <si>
    <t>Ikram Irani</t>
  </si>
  <si>
    <t>Nayla Salhab</t>
  </si>
  <si>
    <t>Marwan Nabti</t>
  </si>
  <si>
    <t>Liliane Bachir</t>
  </si>
  <si>
    <t>Sami Abu-Izzeddine</t>
  </si>
  <si>
    <t>Zeina Yeghiazarian</t>
  </si>
  <si>
    <t>Ekram Balian</t>
  </si>
  <si>
    <t>Suleiman Farag</t>
  </si>
  <si>
    <t>George Kadi</t>
  </si>
  <si>
    <t>Raja Khalaf</t>
  </si>
  <si>
    <t>Nazmi Walieddine</t>
  </si>
  <si>
    <t>Rima Tabet</t>
  </si>
  <si>
    <t>Hanine Bazzi</t>
  </si>
  <si>
    <t>Walid Elyas</t>
  </si>
  <si>
    <t>Ghandi Akkari</t>
  </si>
  <si>
    <t>Jean-Claude Tahan</t>
  </si>
  <si>
    <t>Chritian Ghaoui</t>
  </si>
  <si>
    <t>Nellie Abou-Hamze</t>
  </si>
  <si>
    <t>Hiam Achkar</t>
  </si>
  <si>
    <t>Bruce Nassar</t>
  </si>
  <si>
    <t>Widad Said</t>
  </si>
  <si>
    <t>Fawzi Chouefaty</t>
  </si>
  <si>
    <t>Tima Jabr</t>
  </si>
  <si>
    <t>May Sharabati</t>
  </si>
  <si>
    <t>Selim Beainy</t>
  </si>
  <si>
    <t>Bassam Halawi</t>
  </si>
  <si>
    <t>Andre Rammal</t>
  </si>
  <si>
    <t>Freddy Sarkis Reda</t>
  </si>
  <si>
    <t>Ghida Emile</t>
  </si>
  <si>
    <t>Hala Mousalli</t>
  </si>
  <si>
    <t>Mona Nassar</t>
  </si>
  <si>
    <t>Amal Andraos</t>
  </si>
  <si>
    <t>Haifa Salam</t>
  </si>
  <si>
    <t>Leila Najjar</t>
  </si>
  <si>
    <t>Lillian Alonzo</t>
  </si>
  <si>
    <t>Kaoukab Safa</t>
  </si>
  <si>
    <t>Cynthia Abou-Khalil</t>
  </si>
  <si>
    <t>Reem Halcort</t>
  </si>
  <si>
    <t>Amal Shehadi</t>
  </si>
  <si>
    <t>Barbara Ziada</t>
  </si>
  <si>
    <t>Yousef Naja</t>
  </si>
  <si>
    <t>Mona Maclennan</t>
  </si>
  <si>
    <t>Samira Shair</t>
  </si>
  <si>
    <t>Ibtissam Abbas</t>
  </si>
  <si>
    <t>Omar Nasrallah</t>
  </si>
  <si>
    <t>Angele Ayyash-Abdo</t>
  </si>
  <si>
    <t>Khaled Koleilat</t>
  </si>
  <si>
    <t>Jinane Saleh</t>
  </si>
  <si>
    <t>Aida Al-Zein</t>
  </si>
  <si>
    <t>Issam El-Basha</t>
  </si>
  <si>
    <t>Moufid Assi</t>
  </si>
  <si>
    <t>Aoun Jaroudi</t>
  </si>
  <si>
    <t>Rana Alwane</t>
  </si>
  <si>
    <t>Nisrine Mourani</t>
  </si>
  <si>
    <t>Odile Bazi</t>
  </si>
  <si>
    <t>Ghada Assad</t>
  </si>
  <si>
    <t>Nada Alghorayeb</t>
  </si>
  <si>
    <t>Baha' Abi-Habib</t>
  </si>
  <si>
    <t>Jehad Faddoul</t>
  </si>
  <si>
    <t>Ghada Assaf</t>
  </si>
  <si>
    <t>Hoda Alami</t>
  </si>
  <si>
    <t>Malek Hallal</t>
  </si>
  <si>
    <t>Iman El-Hajj</t>
  </si>
  <si>
    <t>Aurore Hanna</t>
  </si>
  <si>
    <t>Omar Hani</t>
  </si>
  <si>
    <t>Ibrahim Rebeiz</t>
  </si>
  <si>
    <t>Wassim Ramadan</t>
  </si>
  <si>
    <t>Rahaf Kabalan</t>
  </si>
  <si>
    <t>Applied Monte Carlo Simulation</t>
  </si>
  <si>
    <t>(An 8-Step Process)</t>
  </si>
  <si>
    <t>A UDEMY Course by Akram Najjar</t>
  </si>
  <si>
    <t>All credits and references are available in the Resources Folder</t>
  </si>
  <si>
    <t>(c) 2024 - Material in this workbook and the resource folder is the property of the author.</t>
  </si>
  <si>
    <r>
      <t xml:space="preserve">The material is part of the course and </t>
    </r>
    <r>
      <rPr>
        <b/>
        <sz val="18"/>
        <rFont val="Calibri"/>
        <family val="2"/>
      </rPr>
      <t>can only be used for your personal</t>
    </r>
    <r>
      <rPr>
        <sz val="18"/>
        <rFont val="Calibri"/>
        <family val="2"/>
      </rPr>
      <t xml:space="preserve"> use.</t>
    </r>
  </si>
  <si>
    <t>The material cannot be used for such purposes as the following without the express permission of the instructor:</t>
  </si>
  <si>
    <t>·        Inclusion in other courses or applications</t>
  </si>
  <si>
    <t>·        Use in a corporation for internal processing and training</t>
  </si>
  <si>
    <t>·        Inclusion in videos or presentations meant for commercial use</t>
  </si>
  <si>
    <t>·        Resale of the course or its material</t>
  </si>
  <si>
    <t>The instructor can be contacted via his profile on the course’s page on the UDEMY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</si>
</sst>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6"/>
      <color theme="0"/>
      <name val="MS Sans Serif"/>
    </font>
    <font>
      <sz val="16"/>
      <name val="MS Sans Serif"/>
    </font>
    <font>
      <sz val="10"/>
      <name val="Arial"/>
    </font>
    <font>
      <b/>
      <sz val="28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4"/>
      <color theme="1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64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0" borderId="0"/>
    <xf numFmtId="0" fontId="12" fillId="0" borderId="0"/>
  </cellStyleXfs>
  <cellXfs count="5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right" vertical="center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2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0" borderId="1" xfId="0" applyFont="1" applyBorder="1"/>
    <xf numFmtId="0" fontId="5" fillId="6" borderId="1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7" fillId="3" borderId="3" xfId="3" applyFont="1" applyFill="1" applyBorder="1"/>
    <xf numFmtId="0" fontId="8" fillId="3" borderId="0" xfId="0" applyFont="1" applyFill="1" applyAlignment="1">
      <alignment horizontal="right"/>
    </xf>
    <xf numFmtId="0" fontId="9" fillId="3" borderId="1" xfId="4" applyFont="1" applyFill="1" applyBorder="1" applyAlignment="1">
      <alignment horizontal="center"/>
    </xf>
    <xf numFmtId="0" fontId="7" fillId="3" borderId="2" xfId="3" applyFont="1" applyFill="1" applyBorder="1" applyAlignment="1">
      <alignment horizontal="left"/>
    </xf>
    <xf numFmtId="0" fontId="6" fillId="2" borderId="1" xfId="1" applyFont="1" applyFill="1" applyBorder="1" applyAlignment="1">
      <alignment horizontal="right" vertical="top"/>
    </xf>
    <xf numFmtId="3" fontId="9" fillId="3" borderId="1" xfId="4" applyNumberFormat="1" applyFont="1" applyFill="1" applyBorder="1" applyAlignment="1">
      <alignment horizontal="right" vertical="top"/>
    </xf>
    <xf numFmtId="0" fontId="7" fillId="3" borderId="0" xfId="0" applyFont="1" applyFill="1" applyAlignment="1">
      <alignment horizontal="right" vertical="top"/>
    </xf>
    <xf numFmtId="0" fontId="6" fillId="2" borderId="1" xfId="1" applyFont="1" applyFill="1" applyBorder="1" applyAlignment="1">
      <alignment horizontal="left" vertical="top"/>
    </xf>
    <xf numFmtId="0" fontId="7" fillId="3" borderId="1" xfId="3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3" borderId="2" xfId="3" applyFont="1" applyFill="1" applyBorder="1" applyAlignment="1">
      <alignment horizontal="left" vertical="top"/>
    </xf>
    <xf numFmtId="0" fontId="7" fillId="3" borderId="4" xfId="0" applyFont="1" applyFill="1" applyBorder="1"/>
    <xf numFmtId="0" fontId="9" fillId="3" borderId="0" xfId="0" applyFont="1" applyFill="1"/>
    <xf numFmtId="0" fontId="9" fillId="3" borderId="4" xfId="4" applyFont="1" applyFill="1" applyBorder="1" applyAlignment="1">
      <alignment horizontal="center"/>
    </xf>
    <xf numFmtId="0" fontId="7" fillId="3" borderId="3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7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3" fillId="3" borderId="0" xfId="6" applyFont="1" applyFill="1" applyProtection="1">
      <protection locked="0"/>
    </xf>
    <xf numFmtId="0" fontId="14" fillId="3" borderId="0" xfId="5" applyFont="1" applyFill="1" applyProtection="1">
      <protection locked="0"/>
    </xf>
    <xf numFmtId="0" fontId="15" fillId="3" borderId="0" xfId="5" applyFont="1" applyFill="1" applyProtection="1">
      <protection locked="0"/>
    </xf>
    <xf numFmtId="0" fontId="16" fillId="3" borderId="0" xfId="6" applyFont="1" applyFill="1" applyProtection="1">
      <protection locked="0"/>
    </xf>
    <xf numFmtId="0" fontId="17" fillId="0" borderId="0" xfId="6" applyFont="1" applyAlignment="1">
      <alignment vertical="center"/>
    </xf>
    <xf numFmtId="0" fontId="19" fillId="0" borderId="0" xfId="6" applyFont="1" applyAlignment="1">
      <alignment horizontal="left" vertical="center" indent="4"/>
    </xf>
    <xf numFmtId="0" fontId="17" fillId="0" borderId="0" xfId="6" applyFont="1" applyAlignment="1">
      <alignment horizontal="left" vertical="center" indent="4"/>
    </xf>
  </cellXfs>
  <cellStyles count="7">
    <cellStyle name="Currency 2" xfId="2" xr:uid="{012E4A8E-8467-47F7-832B-37F90B994140}"/>
    <cellStyle name="GreyOrWhite" xfId="3" xr:uid="{58B74B87-0C53-472D-9D72-C41AD19EF861}"/>
    <cellStyle name="Normal" xfId="0" builtinId="0"/>
    <cellStyle name="Normal 2" xfId="1" xr:uid="{AA3587FE-1946-4FE2-8BC2-6D86B9AEBB2D}"/>
    <cellStyle name="Normal 2 2" xfId="6" xr:uid="{97192CE3-8729-4F44-9B37-57C883EC186D}"/>
    <cellStyle name="Normal 3" xfId="5" xr:uid="{DFFFA508-4DED-46FC-9832-ADAB99C399B9}"/>
    <cellStyle name="Yellow" xfId="4" xr:uid="{D5FF8753-2A7C-4E3D-9E4E-5632363C48C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153227</xdr:colOff>
      <xdr:row>0</xdr:row>
      <xdr:rowOff>13664</xdr:rowOff>
    </xdr:from>
    <xdr:to>
      <xdr:col>17</xdr:col>
      <xdr:colOff>590478</xdr:colOff>
      <xdr:row>35</xdr:row>
      <xdr:rowOff>41413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144319E-CC9D-405E-AC85-F202695C75B4}"/>
            </a:ext>
          </a:extLst>
        </xdr:cNvPr>
        <xdr:cNvSpPr txBox="1">
          <a:spLocks noChangeArrowheads="1"/>
        </xdr:cNvSpPr>
      </xdr:nvSpPr>
      <xdr:spPr bwMode="auto">
        <a:xfrm>
          <a:off x="5437531" y="13664"/>
          <a:ext cx="4114730" cy="698514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MATCH() has 3 argument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s</a:t>
          </a:r>
        </a:p>
        <a:p>
          <a:pPr algn="l" rtl="0">
            <a:lnSpc>
              <a:spcPts val="12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Lookup_Value = what we are searching for</a:t>
          </a:r>
        </a:p>
        <a:p>
          <a:pPr algn="l" rtl="0">
            <a:lnSpc>
              <a:spcPts val="12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Lookup_Array = where we are searching for it</a:t>
          </a:r>
        </a:p>
        <a:p>
          <a:pPr algn="l" rtl="0">
            <a:lnSpc>
              <a:spcPts val="12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Match Type  = -1, 0, or 1.</a:t>
          </a:r>
        </a:p>
        <a:p>
          <a:pPr algn="l" rtl="0">
            <a:lnSpc>
              <a:spcPts val="1200"/>
            </a:lnSpc>
            <a:defRPr sz="1000"/>
          </a:pPr>
          <a:endParaRPr lang="en-US" sz="1400" b="0" i="0" u="none" strike="noStrike" baseline="0">
            <a:solidFill>
              <a:srgbClr val="000000"/>
            </a:solidFill>
            <a:latin typeface="+mn-lt"/>
            <a:cs typeface="Arial" panose="020B0604020202020204" pitchFamily="34" charset="0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If match_type = 1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, MATCH finds the largest value that is less than or equal to lookup_value. Lookup_array must be placed in ascending order: ...-2, -1, 0, 1, 2, ..., A-Z, FALSE, TRUE.</a:t>
          </a:r>
        </a:p>
        <a:p>
          <a:pPr algn="l" rtl="0">
            <a:lnSpc>
              <a:spcPts val="1200"/>
            </a:lnSpc>
            <a:defRPr sz="1000"/>
          </a:pPr>
          <a:endParaRPr lang="en-US" sz="1400" b="0" i="0" u="none" strike="noStrike" baseline="0">
            <a:solidFill>
              <a:srgbClr val="000000"/>
            </a:solidFill>
            <a:latin typeface="+mn-lt"/>
            <a:cs typeface="Arial" panose="020B0604020202020204" pitchFamily="34" charset="0"/>
          </a:endParaRPr>
        </a:p>
        <a:p>
          <a:pPr algn="l" rtl="0">
            <a:lnSpc>
              <a:spcPts val="13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If match_type = 0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, MATCH finds the first value that is exactly equal to lookup_value. Lookup_array can be in any order.</a:t>
          </a:r>
        </a:p>
        <a:p>
          <a:pPr algn="l" rtl="0">
            <a:lnSpc>
              <a:spcPts val="1200"/>
            </a:lnSpc>
            <a:defRPr sz="1000"/>
          </a:pPr>
          <a:endParaRPr lang="en-US" sz="1400" b="0" i="0" u="none" strike="noStrike" baseline="0">
            <a:solidFill>
              <a:srgbClr val="000000"/>
            </a:solidFill>
            <a:latin typeface="+mn-lt"/>
            <a:cs typeface="Arial" panose="020B0604020202020204" pitchFamily="34" charset="0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If match_type is = -1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anose="020B0604020202020204" pitchFamily="34" charset="0"/>
            </a:rPr>
            <a:t>, MATCH finds the smallest value that is greater than or equal to lookup_value. Lookup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_array must be placed in descending order: TRUE, FALSE, Z-A, ...2, 1, 0, -1, -2, ..., and so on.</a:t>
          </a:r>
        </a:p>
        <a:p>
          <a:pPr algn="l" rtl="0">
            <a:lnSpc>
              <a:spcPts val="1200"/>
            </a:lnSpc>
            <a:defRPr sz="1000"/>
          </a:pPr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If match_type is omitted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, it is assumed to be 1.</a:t>
          </a:r>
        </a:p>
        <a:p>
          <a:pPr algn="l" rtl="0">
            <a:lnSpc>
              <a:spcPts val="1200"/>
            </a:lnSpc>
            <a:defRPr sz="1000"/>
          </a:pPr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Match Type = 0</a:t>
          </a:r>
        </a:p>
        <a:p>
          <a:pPr algn="l" rtl="0">
            <a:lnSpc>
              <a:spcPts val="12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Setup B13 to have a Data List from A2:A8 and B14 to have a Data List from B1:H1</a:t>
          </a:r>
        </a:p>
        <a:p>
          <a:pPr algn="l" rtl="0">
            <a:lnSpc>
              <a:spcPts val="12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2) Let C13 =MATCH(B13,A2:A8,0) and</a:t>
          </a:r>
        </a:p>
        <a:p>
          <a:pPr algn="l" rtl="0">
            <a:lnSpc>
              <a:spcPts val="12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C14 =MATCH(B14,B1:H1,0)</a:t>
          </a:r>
        </a:p>
        <a:p>
          <a:pPr algn="l" rtl="0">
            <a:lnSpc>
              <a:spcPts val="1300"/>
            </a:lnSpc>
            <a:defRPr sz="1000"/>
          </a:pPr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Match Type = 1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Let B18 = 80 and C18 =MATCH(B18,D2:D8,1)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The answer 4 is wrong because the column D2:D8 is not sorted.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Sort it and see . . 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Match Type = 1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Let B22 = 80 and C22 =MATCH(B22,D2:D8,1)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The answer 4 is wrong because the column D2:D8 is not sorted.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Sort it and see . . 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252618</xdr:colOff>
      <xdr:row>0</xdr:row>
      <xdr:rowOff>0</xdr:rowOff>
    </xdr:from>
    <xdr:to>
      <xdr:col>15</xdr:col>
      <xdr:colOff>76956</xdr:colOff>
      <xdr:row>11</xdr:row>
      <xdr:rowOff>118856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BC7F6C9-7F7B-4550-A464-EA53162303DB}"/>
            </a:ext>
          </a:extLst>
        </xdr:cNvPr>
        <xdr:cNvSpPr txBox="1">
          <a:spLocks noChangeArrowheads="1"/>
        </xdr:cNvSpPr>
      </xdr:nvSpPr>
      <xdr:spPr bwMode="auto">
        <a:xfrm>
          <a:off x="4393922" y="0"/>
          <a:ext cx="4114730" cy="23054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The cells B13 and B14 are already assigned the Data Lists from A2:A8 (Employees) and B1:H1 (Days)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Enter an INDEX formula in B15 that looks up the value (number of errors) for the Employee (Karim) and the Day (Tue).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Use F9 or Evaluate Formula (under FORMULA) to see how the Formula is constructed.</a:t>
          </a:r>
        </a:p>
        <a:p>
          <a:pPr rtl="0"/>
          <a:b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</a:b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Try other values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202922</xdr:colOff>
      <xdr:row>0</xdr:row>
      <xdr:rowOff>33130</xdr:rowOff>
    </xdr:from>
    <xdr:to>
      <xdr:col>16</xdr:col>
      <xdr:colOff>27261</xdr:colOff>
      <xdr:row>20</xdr:row>
      <xdr:rowOff>190500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0CCA9C8-DD7F-4475-8B13-93F2B4CCCCBF}"/>
            </a:ext>
          </a:extLst>
        </xdr:cNvPr>
        <xdr:cNvSpPr txBox="1">
          <a:spLocks noChangeArrowheads="1"/>
        </xdr:cNvSpPr>
      </xdr:nvSpPr>
      <xdr:spPr bwMode="auto">
        <a:xfrm>
          <a:off x="5288444" y="33130"/>
          <a:ext cx="4114730" cy="413302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Objective: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to show how INDEX() can handle full rows or full columns by embedding INDEX in other functions (SUM, AVERAGE, MIN, etc.)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INDEX will return a row or a column for use in those functions.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The secret is to drop the Row or the Col arguments (or enter 0). This tells INDEX, take all Columns or all Rows.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Try it in B11 =INDEX(B2:H8,0,4)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Because INDEX has no ROW value, it will return values in all the rows of Col 4. These cannot be placed in B11 so it will return an error.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As a proof, press F2 and highlight the formula (without the =) and press 9 ... you will see the arrayed values.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The same applies to B12.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Solution: embed these formulas inside a SUM function in B14 and B15.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169792</xdr:colOff>
      <xdr:row>0</xdr:row>
      <xdr:rowOff>24850</xdr:rowOff>
    </xdr:from>
    <xdr:to>
      <xdr:col>16</xdr:col>
      <xdr:colOff>607044</xdr:colOff>
      <xdr:row>20</xdr:row>
      <xdr:rowOff>182220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3635540-411E-493E-859A-8AD2EDBDA7E3}"/>
            </a:ext>
          </a:extLst>
        </xdr:cNvPr>
        <xdr:cNvSpPr txBox="1">
          <a:spLocks noChangeArrowheads="1"/>
        </xdr:cNvSpPr>
      </xdr:nvSpPr>
      <xdr:spPr bwMode="auto">
        <a:xfrm>
          <a:off x="5652879" y="24850"/>
          <a:ext cx="4114730" cy="413302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Objective: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to show how INDEX() can be used to transfer the contents of a row or a column to another location.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We will use the same trick as in INDEX2: to enter 0 in the row or the column argument.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The secret is to drop the Row or the Col arguments (or enter 0). This tells INDEX, take all Columns or all Rows.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To return the column for Tues into Col J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Highlight the range J2:J8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2) Press F2 and enter the formula =INDEX(B2:H8,,3)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3) Don't press ENTER but press Control Shift Enter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4) Index will return the 7 values for you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To return the row for Karim into Row 11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Do the same as above with this function =INDEX(B2:H8,4,0)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277466</xdr:colOff>
      <xdr:row>0</xdr:row>
      <xdr:rowOff>0</xdr:rowOff>
    </xdr:from>
    <xdr:to>
      <xdr:col>13</xdr:col>
      <xdr:colOff>298173</xdr:colOff>
      <xdr:row>11</xdr:row>
      <xdr:rowOff>49694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98DABF5-150C-488E-BC07-EAFEF5C5F16D}"/>
            </a:ext>
          </a:extLst>
        </xdr:cNvPr>
        <xdr:cNvSpPr txBox="1">
          <a:spLocks noChangeArrowheads="1"/>
        </xdr:cNvSpPr>
      </xdr:nvSpPr>
      <xdr:spPr bwMode="auto">
        <a:xfrm>
          <a:off x="4741792" y="0"/>
          <a:ext cx="4576142" cy="269184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Objective: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to show how INDEX() can be used when two ranges are to be search.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Define the Range B2:E4 and B7:E9 as </a:t>
          </a: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BeirutOutside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2) Setup a Data List for products in B11 (from A2:A4)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3) Setup a Data List for quarters in B12 (from B1:E1)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4) Setup a Ddata List for Beirut and OutSideBeirut in B13 by entering the comma separated names of Beirut and Outside.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5) Enter an INDEX() function that searches </a:t>
          </a:r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BeirutOutside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 using the Row and Col as MATCH() functions based on B11 and B12.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New Format for Index: a 4th argument has to be 1 or 2 defining the two areas in BeirutOutside.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Use an IF Statement to differentiate between A1 and A6.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1</xdr:row>
      <xdr:rowOff>114300</xdr:rowOff>
    </xdr:from>
    <xdr:ext cx="4114730" cy="37814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3A7E993-F1CF-4D0D-A15F-A0BC2D230A71}"/>
            </a:ext>
          </a:extLst>
        </xdr:cNvPr>
        <xdr:cNvSpPr txBox="1">
          <a:spLocks noChangeArrowheads="1"/>
        </xdr:cNvSpPr>
      </xdr:nvSpPr>
      <xdr:spPr bwMode="auto">
        <a:xfrm>
          <a:off x="8153400" y="361950"/>
          <a:ext cx="4114730" cy="378142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Objective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: to check if items in List1 are found in List2 (and vice versa)</a:t>
          </a:r>
        </a:p>
        <a:p>
          <a:pPr rtl="0"/>
          <a:endParaRPr lang="en-US" sz="1400" b="1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We will use INDEX and MATCH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Define the names of the two lists as List1 and List2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2) In C2, enter the INDEX which will return a value from List1 IF MATCH finds B2 in List1.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3) In D2, enter the INDEX which will return a value from List2 if MATCH finds B1 in List2.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4) Highlight the range C2:C191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5) Select HOME / EDITING / FIND &amp; SELECT and GO TO SPECIAL.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5) Select to view formulas and only enable TEXT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6) Format the found values in Blue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7) Do the same for D2:D201</a:t>
          </a:r>
        </a:p>
        <a:p>
          <a:pPr rtl="0"/>
          <a:endParaRPr lang="en-US" sz="1400" b="0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%20eBook%20Publishing/02.%20Practical%20Earned%20Value%20Analysis/01.%20Workouts%20and%20Templates/01.%20EVA%20-%20WORKOUTS%20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W1 EV"/>
      <sheetName val="W1 AC"/>
      <sheetName val="W2"/>
      <sheetName val="W3"/>
      <sheetName val="W4"/>
      <sheetName val="W7"/>
      <sheetName val="W8"/>
      <sheetName val="W9"/>
      <sheetName val="W10"/>
      <sheetName val="W11"/>
      <sheetName val="W12"/>
      <sheetName val="W13"/>
    </sheetNames>
    <sheetDataSet>
      <sheetData sheetId="0"/>
      <sheetData sheetId="1"/>
      <sheetData sheetId="2"/>
      <sheetData sheetId="3">
        <row r="3">
          <cell r="B3">
            <v>26</v>
          </cell>
          <cell r="M3">
            <v>172</v>
          </cell>
        </row>
        <row r="5">
          <cell r="B5">
            <v>29</v>
          </cell>
        </row>
        <row r="7">
          <cell r="B7">
            <v>21</v>
          </cell>
        </row>
        <row r="9">
          <cell r="B9">
            <v>3</v>
          </cell>
        </row>
        <row r="10">
          <cell r="B10">
            <v>8</v>
          </cell>
        </row>
        <row r="11">
          <cell r="B11">
            <v>1.1153846153846154</v>
          </cell>
        </row>
        <row r="12">
          <cell r="B12">
            <v>1.3809523809523809</v>
          </cell>
        </row>
        <row r="14">
          <cell r="B14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FA4B-9CBA-48D0-A3BC-94985C56F2B8}">
  <sheetPr codeName="Sheet5"/>
  <dimension ref="A1:M17"/>
  <sheetViews>
    <sheetView showGridLines="0" tabSelected="1" zoomScale="85" zoomScaleNormal="85" workbookViewId="0">
      <selection activeCell="J3" sqref="J3"/>
    </sheetView>
  </sheetViews>
  <sheetFormatPr defaultRowHeight="12.75" x14ac:dyDescent="0.2"/>
  <cols>
    <col min="1" max="16384" width="9.140625" style="48"/>
  </cols>
  <sheetData>
    <row r="1" spans="1:13" ht="36" x14ac:dyDescent="0.55000000000000004">
      <c r="A1" s="47" t="s">
        <v>422</v>
      </c>
    </row>
    <row r="2" spans="1:13" ht="36" x14ac:dyDescent="0.55000000000000004">
      <c r="A2" s="47" t="s">
        <v>423</v>
      </c>
      <c r="M2" s="49"/>
    </row>
    <row r="3" spans="1:13" ht="17.25" customHeight="1" x14ac:dyDescent="0.2"/>
    <row r="4" spans="1:13" ht="31.5" x14ac:dyDescent="0.5">
      <c r="A4" s="50" t="s">
        <v>424</v>
      </c>
    </row>
    <row r="5" spans="1:13" ht="31.5" x14ac:dyDescent="0.5">
      <c r="A5" s="50" t="s">
        <v>425</v>
      </c>
    </row>
    <row r="6" spans="1:13" ht="31.5" x14ac:dyDescent="0.5">
      <c r="A6" s="50"/>
    </row>
    <row r="7" spans="1:13" ht="21" customHeight="1" x14ac:dyDescent="0.2">
      <c r="A7" s="51" t="s">
        <v>426</v>
      </c>
    </row>
    <row r="8" spans="1:13" ht="21" customHeight="1" x14ac:dyDescent="0.2">
      <c r="A8" s="51" t="s">
        <v>427</v>
      </c>
    </row>
    <row r="9" spans="1:13" ht="21" customHeight="1" x14ac:dyDescent="0.2">
      <c r="A9" s="51" t="s">
        <v>428</v>
      </c>
    </row>
    <row r="10" spans="1:13" ht="21" customHeight="1" x14ac:dyDescent="0.2">
      <c r="A10" s="51"/>
    </row>
    <row r="11" spans="1:13" ht="21" customHeight="1" x14ac:dyDescent="0.2">
      <c r="A11" s="52" t="s">
        <v>429</v>
      </c>
    </row>
    <row r="12" spans="1:13" ht="21" customHeight="1" x14ac:dyDescent="0.2">
      <c r="A12" s="52" t="s">
        <v>430</v>
      </c>
    </row>
    <row r="13" spans="1:13" ht="21" customHeight="1" x14ac:dyDescent="0.2">
      <c r="A13" s="52" t="s">
        <v>431</v>
      </c>
    </row>
    <row r="14" spans="1:13" ht="21" customHeight="1" x14ac:dyDescent="0.2">
      <c r="A14" s="52" t="s">
        <v>432</v>
      </c>
    </row>
    <row r="15" spans="1:13" ht="21" customHeight="1" x14ac:dyDescent="0.2">
      <c r="A15" s="53"/>
    </row>
    <row r="16" spans="1:13" ht="21" customHeight="1" x14ac:dyDescent="0.2">
      <c r="A16" s="51" t="s">
        <v>433</v>
      </c>
    </row>
    <row r="17" ht="21" customHeight="1" x14ac:dyDescent="0.2"/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9838-8C28-4CC2-9E39-BFFBFBC2726B}">
  <sheetPr codeName="Sheet1"/>
  <dimension ref="A1:H22"/>
  <sheetViews>
    <sheetView showGridLines="0" zoomScale="115" zoomScaleNormal="115" workbookViewId="0">
      <selection activeCell="K15" sqref="K15"/>
    </sheetView>
  </sheetViews>
  <sheetFormatPr defaultRowHeight="15.75" x14ac:dyDescent="0.25"/>
  <cols>
    <col min="1" max="1" width="16" style="3" customWidth="1"/>
    <col min="2" max="8" width="6.5703125" style="6" customWidth="1"/>
    <col min="9" max="16384" width="9.140625" style="3"/>
  </cols>
  <sheetData>
    <row r="1" spans="1:8" x14ac:dyDescent="0.2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 t="s">
        <v>10</v>
      </c>
      <c r="B2" s="5">
        <v>89</v>
      </c>
      <c r="C2" s="5">
        <v>76</v>
      </c>
      <c r="D2" s="12">
        <v>65</v>
      </c>
      <c r="E2" s="5">
        <v>57</v>
      </c>
      <c r="F2" s="5">
        <v>86</v>
      </c>
      <c r="G2" s="5">
        <v>56</v>
      </c>
      <c r="H2" s="5">
        <v>78</v>
      </c>
    </row>
    <row r="3" spans="1:8" x14ac:dyDescent="0.25">
      <c r="A3" s="4" t="s">
        <v>8</v>
      </c>
      <c r="B3" s="5">
        <v>92</v>
      </c>
      <c r="C3" s="5">
        <v>69</v>
      </c>
      <c r="D3" s="12">
        <v>87</v>
      </c>
      <c r="E3" s="5">
        <v>55</v>
      </c>
      <c r="F3" s="5">
        <v>55</v>
      </c>
      <c r="G3" s="5">
        <v>60</v>
      </c>
      <c r="H3" s="5">
        <v>71</v>
      </c>
    </row>
    <row r="4" spans="1:8" x14ac:dyDescent="0.25">
      <c r="A4" s="4" t="s">
        <v>11</v>
      </c>
      <c r="B4" s="5">
        <v>83</v>
      </c>
      <c r="C4" s="5">
        <v>55</v>
      </c>
      <c r="D4" s="12">
        <v>89</v>
      </c>
      <c r="E4" s="5">
        <v>95</v>
      </c>
      <c r="F4" s="5">
        <v>59</v>
      </c>
      <c r="G4" s="5">
        <v>96</v>
      </c>
      <c r="H4" s="5">
        <v>69</v>
      </c>
    </row>
    <row r="5" spans="1:8" x14ac:dyDescent="0.25">
      <c r="A5" s="4" t="s">
        <v>9</v>
      </c>
      <c r="B5" s="12">
        <v>76</v>
      </c>
      <c r="C5" s="12">
        <v>75</v>
      </c>
      <c r="D5" s="12">
        <v>76</v>
      </c>
      <c r="E5" s="12">
        <v>93</v>
      </c>
      <c r="F5" s="12">
        <v>73</v>
      </c>
      <c r="G5" s="12">
        <v>95</v>
      </c>
      <c r="H5" s="12">
        <v>63</v>
      </c>
    </row>
    <row r="6" spans="1:8" x14ac:dyDescent="0.25">
      <c r="A6" s="4" t="s">
        <v>12</v>
      </c>
      <c r="B6" s="5">
        <v>60</v>
      </c>
      <c r="C6" s="5">
        <v>94</v>
      </c>
      <c r="D6" s="12">
        <v>99</v>
      </c>
      <c r="E6" s="5">
        <v>60</v>
      </c>
      <c r="F6" s="5">
        <v>75</v>
      </c>
      <c r="G6" s="5">
        <v>89</v>
      </c>
      <c r="H6" s="5">
        <v>81</v>
      </c>
    </row>
    <row r="7" spans="1:8" x14ac:dyDescent="0.25">
      <c r="A7" s="4" t="s">
        <v>7</v>
      </c>
      <c r="B7" s="5">
        <v>88</v>
      </c>
      <c r="C7" s="5">
        <v>79</v>
      </c>
      <c r="D7" s="12">
        <v>97</v>
      </c>
      <c r="E7" s="5">
        <v>57</v>
      </c>
      <c r="F7" s="5">
        <v>90</v>
      </c>
      <c r="G7" s="5">
        <v>85</v>
      </c>
      <c r="H7" s="5">
        <v>93</v>
      </c>
    </row>
    <row r="8" spans="1:8" x14ac:dyDescent="0.25">
      <c r="A8" s="4" t="s">
        <v>13</v>
      </c>
      <c r="B8" s="5">
        <v>79</v>
      </c>
      <c r="C8" s="5">
        <v>76</v>
      </c>
      <c r="D8" s="12">
        <v>74</v>
      </c>
      <c r="E8" s="5">
        <v>71</v>
      </c>
      <c r="F8" s="5">
        <v>98</v>
      </c>
      <c r="G8" s="5">
        <v>95</v>
      </c>
      <c r="H8" s="5">
        <v>67</v>
      </c>
    </row>
    <row r="11" spans="1:8" x14ac:dyDescent="0.25">
      <c r="A11" s="7" t="s">
        <v>20</v>
      </c>
      <c r="B11" s="8"/>
      <c r="C11" s="8"/>
      <c r="D11" s="8"/>
      <c r="E11" s="8"/>
      <c r="F11" s="8"/>
      <c r="G11" s="9"/>
    </row>
    <row r="13" spans="1:8" x14ac:dyDescent="0.25">
      <c r="A13" s="4" t="s">
        <v>15</v>
      </c>
      <c r="B13" s="11" t="s">
        <v>9</v>
      </c>
      <c r="C13" s="5">
        <f>MATCH(B13,A2:A8,0)</f>
        <v>4</v>
      </c>
      <c r="D13" s="10" t="str">
        <f ca="1">_xlfn.FORMULATEXT(C13)</f>
        <v>=MATCH(B13,A2:A8,0)</v>
      </c>
    </row>
    <row r="14" spans="1:8" x14ac:dyDescent="0.25">
      <c r="A14" s="4" t="s">
        <v>16</v>
      </c>
      <c r="B14" s="11" t="s">
        <v>3</v>
      </c>
      <c r="C14" s="5">
        <f>MATCH(B14,B1:H1,0)</f>
        <v>4</v>
      </c>
      <c r="D14" s="10" t="str">
        <f ca="1">_xlfn.FORMULATEXT(C14)</f>
        <v>=MATCH(B14,B1:H1,0)</v>
      </c>
    </row>
    <row r="16" spans="1:8" x14ac:dyDescent="0.25">
      <c r="A16" s="7" t="s">
        <v>18</v>
      </c>
      <c r="B16" s="8"/>
      <c r="C16" s="8"/>
      <c r="D16" s="8"/>
      <c r="E16" s="8"/>
      <c r="F16" s="8"/>
      <c r="G16" s="9"/>
    </row>
    <row r="18" spans="1:7" x14ac:dyDescent="0.25">
      <c r="A18" s="4" t="s">
        <v>17</v>
      </c>
      <c r="B18" s="11">
        <v>80</v>
      </c>
      <c r="C18" s="5">
        <f>MATCH(B18,D2:D8,1)</f>
        <v>4</v>
      </c>
      <c r="D18" s="10" t="str">
        <f ca="1">_xlfn.FORMULATEXT(C18)</f>
        <v>=MATCH(B18,D2:D8,1)</v>
      </c>
    </row>
    <row r="20" spans="1:7" x14ac:dyDescent="0.25">
      <c r="A20" s="7" t="s">
        <v>19</v>
      </c>
      <c r="B20" s="8"/>
      <c r="C20" s="8"/>
      <c r="D20" s="8"/>
      <c r="E20" s="8"/>
      <c r="F20" s="8"/>
      <c r="G20" s="9"/>
    </row>
    <row r="22" spans="1:7" x14ac:dyDescent="0.25">
      <c r="A22" s="4" t="s">
        <v>17</v>
      </c>
      <c r="B22" s="11">
        <v>80</v>
      </c>
      <c r="C22" s="5">
        <f>MATCH(B22,D2:D8,1)</f>
        <v>4</v>
      </c>
      <c r="D22" s="10" t="str">
        <f ca="1">_xlfn.FORMULATEXT(C22)</f>
        <v>=MATCH(B22,D2:D8,1)</v>
      </c>
    </row>
  </sheetData>
  <sortState xmlns:xlrd2="http://schemas.microsoft.com/office/spreadsheetml/2017/richdata2" ref="A2:A8">
    <sortCondition ref="A2:A8"/>
  </sortState>
  <dataValidations count="2">
    <dataValidation type="list" allowBlank="1" showInputMessage="1" showErrorMessage="1" sqref="B13" xr:uid="{434373AE-A224-4698-9730-80D258FDDFCD}">
      <formula1>$A$2:$A$8</formula1>
    </dataValidation>
    <dataValidation type="list" allowBlank="1" showInputMessage="1" showErrorMessage="1" sqref="B14" xr:uid="{0FFE73BF-2499-49C8-870B-388ABE0DDD0C}">
      <formula1>$B$1:$H$1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0D6E-2AD4-414E-803C-3EB5747D9E37}">
  <sheetPr codeName="Sheet2"/>
  <dimension ref="A1:H15"/>
  <sheetViews>
    <sheetView showGridLines="0" zoomScale="115" zoomScaleNormal="115" workbookViewId="0">
      <selection activeCell="N17" sqref="N17"/>
    </sheetView>
  </sheetViews>
  <sheetFormatPr defaultRowHeight="15.75" x14ac:dyDescent="0.25"/>
  <cols>
    <col min="1" max="1" width="16" style="3" customWidth="1"/>
    <col min="2" max="8" width="6.5703125" style="6" customWidth="1"/>
    <col min="9" max="16384" width="9.140625" style="3"/>
  </cols>
  <sheetData>
    <row r="1" spans="1:8" x14ac:dyDescent="0.2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 t="s">
        <v>10</v>
      </c>
      <c r="B2" s="5">
        <v>89</v>
      </c>
      <c r="C2" s="5">
        <v>76</v>
      </c>
      <c r="D2" s="12">
        <v>65</v>
      </c>
      <c r="E2" s="5">
        <v>57</v>
      </c>
      <c r="F2" s="5">
        <v>86</v>
      </c>
      <c r="G2" s="5">
        <v>56</v>
      </c>
      <c r="H2" s="5">
        <v>78</v>
      </c>
    </row>
    <row r="3" spans="1:8" x14ac:dyDescent="0.25">
      <c r="A3" s="4" t="s">
        <v>8</v>
      </c>
      <c r="B3" s="5">
        <v>92</v>
      </c>
      <c r="C3" s="5">
        <v>69</v>
      </c>
      <c r="D3" s="12">
        <v>87</v>
      </c>
      <c r="E3" s="5">
        <v>55</v>
      </c>
      <c r="F3" s="5">
        <v>55</v>
      </c>
      <c r="G3" s="5">
        <v>60</v>
      </c>
      <c r="H3" s="5">
        <v>71</v>
      </c>
    </row>
    <row r="4" spans="1:8" x14ac:dyDescent="0.25">
      <c r="A4" s="4" t="s">
        <v>11</v>
      </c>
      <c r="B4" s="5">
        <v>83</v>
      </c>
      <c r="C4" s="5">
        <v>55</v>
      </c>
      <c r="D4" s="12">
        <v>89</v>
      </c>
      <c r="E4" s="5">
        <v>95</v>
      </c>
      <c r="F4" s="5">
        <v>59</v>
      </c>
      <c r="G4" s="5">
        <v>96</v>
      </c>
      <c r="H4" s="5">
        <v>69</v>
      </c>
    </row>
    <row r="5" spans="1:8" x14ac:dyDescent="0.25">
      <c r="A5" s="4" t="s">
        <v>9</v>
      </c>
      <c r="B5" s="12">
        <v>76</v>
      </c>
      <c r="C5" s="12">
        <v>75</v>
      </c>
      <c r="D5" s="14">
        <v>76</v>
      </c>
      <c r="E5" s="12">
        <v>93</v>
      </c>
      <c r="F5" s="12">
        <v>73</v>
      </c>
      <c r="G5" s="12">
        <v>95</v>
      </c>
      <c r="H5" s="12">
        <v>63</v>
      </c>
    </row>
    <row r="6" spans="1:8" x14ac:dyDescent="0.25">
      <c r="A6" s="4" t="s">
        <v>12</v>
      </c>
      <c r="B6" s="5">
        <v>60</v>
      </c>
      <c r="C6" s="5">
        <v>94</v>
      </c>
      <c r="D6" s="12">
        <v>99</v>
      </c>
      <c r="E6" s="5">
        <v>60</v>
      </c>
      <c r="F6" s="5">
        <v>75</v>
      </c>
      <c r="G6" s="5">
        <v>89</v>
      </c>
      <c r="H6" s="5">
        <v>81</v>
      </c>
    </row>
    <row r="7" spans="1:8" x14ac:dyDescent="0.25">
      <c r="A7" s="4" t="s">
        <v>7</v>
      </c>
      <c r="B7" s="5">
        <v>88</v>
      </c>
      <c r="C7" s="5">
        <v>79</v>
      </c>
      <c r="D7" s="12">
        <v>97</v>
      </c>
      <c r="E7" s="5">
        <v>57</v>
      </c>
      <c r="F7" s="5">
        <v>90</v>
      </c>
      <c r="G7" s="5">
        <v>85</v>
      </c>
      <c r="H7" s="5">
        <v>93</v>
      </c>
    </row>
    <row r="8" spans="1:8" x14ac:dyDescent="0.25">
      <c r="A8" s="4" t="s">
        <v>13</v>
      </c>
      <c r="B8" s="5">
        <v>79</v>
      </c>
      <c r="C8" s="5">
        <v>76</v>
      </c>
      <c r="D8" s="12">
        <v>74</v>
      </c>
      <c r="E8" s="5">
        <v>71</v>
      </c>
      <c r="F8" s="5">
        <v>98</v>
      </c>
      <c r="G8" s="5">
        <v>95</v>
      </c>
      <c r="H8" s="5">
        <v>67</v>
      </c>
    </row>
    <row r="11" spans="1:8" x14ac:dyDescent="0.25">
      <c r="A11" s="7" t="s">
        <v>20</v>
      </c>
      <c r="B11" s="8"/>
      <c r="C11" s="8"/>
      <c r="D11" s="8"/>
      <c r="E11" s="8"/>
      <c r="F11" s="8"/>
      <c r="G11" s="9"/>
    </row>
    <row r="13" spans="1:8" x14ac:dyDescent="0.25">
      <c r="A13" s="4" t="s">
        <v>15</v>
      </c>
      <c r="B13" s="11" t="s">
        <v>9</v>
      </c>
    </row>
    <row r="14" spans="1:8" x14ac:dyDescent="0.25">
      <c r="A14" s="4" t="s">
        <v>16</v>
      </c>
      <c r="B14" s="11" t="s">
        <v>2</v>
      </c>
    </row>
    <row r="15" spans="1:8" x14ac:dyDescent="0.25">
      <c r="A15" s="13" t="s">
        <v>21</v>
      </c>
      <c r="B15" s="14">
        <f>INDEX(B2:H8,MATCH(B13,A2:A8,0),MATCH(B14,B1:H1,0))</f>
        <v>76</v>
      </c>
      <c r="C15" s="10" t="str">
        <f ca="1">_xlfn.FORMULATEXT(B15)</f>
        <v>=INDEX(B2:H8,MATCH(B13,A2:A8,0),MATCH(B14,B1:H1,0))</v>
      </c>
    </row>
  </sheetData>
  <dataValidations count="2">
    <dataValidation type="list" allowBlank="1" showInputMessage="1" showErrorMessage="1" sqref="B14" xr:uid="{C7F04F16-E079-4602-8B1A-B18D6794024D}">
      <formula1>$B$1:$H$1</formula1>
    </dataValidation>
    <dataValidation type="list" allowBlank="1" showInputMessage="1" showErrorMessage="1" sqref="B13" xr:uid="{54F38DDE-3FD7-42D1-8FAE-30AE5196172E}">
      <formula1>$A$2:$A$8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CCA0-5749-4FFC-BBDB-16F0D828D9AA}">
  <sheetPr codeName="Sheet3"/>
  <dimension ref="A1:I15"/>
  <sheetViews>
    <sheetView showGridLines="0" zoomScale="115" zoomScaleNormal="115" workbookViewId="0">
      <selection activeCell="F11" sqref="F11"/>
    </sheetView>
  </sheetViews>
  <sheetFormatPr defaultRowHeight="15.75" x14ac:dyDescent="0.25"/>
  <cols>
    <col min="1" max="1" width="17.7109375" style="3" customWidth="1"/>
    <col min="2" max="2" width="9.85546875" style="6" customWidth="1"/>
    <col min="3" max="8" width="6.5703125" style="6" customWidth="1"/>
    <col min="9" max="16384" width="9.140625" style="3"/>
  </cols>
  <sheetData>
    <row r="1" spans="1:9" x14ac:dyDescent="0.2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9" x14ac:dyDescent="0.25">
      <c r="A2" s="4" t="s">
        <v>10</v>
      </c>
      <c r="B2" s="5">
        <v>89</v>
      </c>
      <c r="C2" s="5">
        <v>76</v>
      </c>
      <c r="D2" s="12">
        <v>65</v>
      </c>
      <c r="E2" s="5">
        <v>57</v>
      </c>
      <c r="F2" s="5">
        <v>86</v>
      </c>
      <c r="G2" s="5">
        <v>56</v>
      </c>
      <c r="H2" s="5">
        <v>78</v>
      </c>
    </row>
    <row r="3" spans="1:9" x14ac:dyDescent="0.25">
      <c r="A3" s="4" t="s">
        <v>8</v>
      </c>
      <c r="B3" s="5">
        <v>92</v>
      </c>
      <c r="C3" s="5">
        <v>69</v>
      </c>
      <c r="D3" s="12">
        <v>87</v>
      </c>
      <c r="E3" s="5">
        <v>55</v>
      </c>
      <c r="F3" s="5">
        <v>55</v>
      </c>
      <c r="G3" s="5">
        <v>60</v>
      </c>
      <c r="H3" s="5">
        <v>71</v>
      </c>
    </row>
    <row r="4" spans="1:9" x14ac:dyDescent="0.25">
      <c r="A4" s="4" t="s">
        <v>11</v>
      </c>
      <c r="B4" s="5">
        <v>83</v>
      </c>
      <c r="C4" s="5">
        <v>55</v>
      </c>
      <c r="D4" s="12">
        <v>89</v>
      </c>
      <c r="E4" s="5">
        <v>95</v>
      </c>
      <c r="F4" s="5">
        <v>59</v>
      </c>
      <c r="G4" s="5">
        <v>96</v>
      </c>
      <c r="H4" s="5">
        <v>69</v>
      </c>
    </row>
    <row r="5" spans="1:9" x14ac:dyDescent="0.25">
      <c r="A5" s="4" t="s">
        <v>9</v>
      </c>
      <c r="B5" s="12">
        <v>76</v>
      </c>
      <c r="C5" s="12">
        <v>75</v>
      </c>
      <c r="D5" s="14">
        <v>76</v>
      </c>
      <c r="E5" s="12">
        <v>93</v>
      </c>
      <c r="F5" s="12">
        <v>73</v>
      </c>
      <c r="G5" s="12">
        <v>95</v>
      </c>
      <c r="H5" s="15">
        <v>63</v>
      </c>
      <c r="I5" s="17">
        <f>SUM(B5:H5)</f>
        <v>551</v>
      </c>
    </row>
    <row r="6" spans="1:9" x14ac:dyDescent="0.25">
      <c r="A6" s="4" t="s">
        <v>12</v>
      </c>
      <c r="B6" s="5">
        <v>60</v>
      </c>
      <c r="C6" s="5">
        <v>94</v>
      </c>
      <c r="D6" s="12">
        <v>99</v>
      </c>
      <c r="E6" s="5">
        <v>60</v>
      </c>
      <c r="F6" s="5">
        <v>75</v>
      </c>
      <c r="G6" s="5">
        <v>89</v>
      </c>
      <c r="H6" s="5">
        <v>81</v>
      </c>
    </row>
    <row r="7" spans="1:9" x14ac:dyDescent="0.25">
      <c r="A7" s="4" t="s">
        <v>7</v>
      </c>
      <c r="B7" s="5">
        <v>88</v>
      </c>
      <c r="C7" s="5">
        <v>79</v>
      </c>
      <c r="D7" s="12">
        <v>97</v>
      </c>
      <c r="E7" s="5">
        <v>57</v>
      </c>
      <c r="F7" s="5">
        <v>90</v>
      </c>
      <c r="G7" s="5">
        <v>85</v>
      </c>
      <c r="H7" s="5">
        <v>93</v>
      </c>
    </row>
    <row r="8" spans="1:9" x14ac:dyDescent="0.25">
      <c r="A8" s="4" t="s">
        <v>13</v>
      </c>
      <c r="B8" s="5">
        <v>79</v>
      </c>
      <c r="C8" s="5">
        <v>76</v>
      </c>
      <c r="D8" s="16">
        <v>74</v>
      </c>
      <c r="E8" s="5">
        <v>71</v>
      </c>
      <c r="F8" s="5">
        <v>98</v>
      </c>
      <c r="G8" s="5">
        <v>95</v>
      </c>
      <c r="H8" s="5">
        <v>67</v>
      </c>
    </row>
    <row r="9" spans="1:9" x14ac:dyDescent="0.25">
      <c r="D9" s="18">
        <f>SUM(D2:D8)</f>
        <v>587</v>
      </c>
    </row>
    <row r="11" spans="1:9" x14ac:dyDescent="0.25">
      <c r="A11" s="13" t="s">
        <v>22</v>
      </c>
      <c r="B11" s="13" t="e">
        <f>INDEX(B2:H8,0,4)</f>
        <v>#VALUE!</v>
      </c>
      <c r="C11" s="10" t="str">
        <f ca="1">_xlfn.FORMULATEXT(B11)</f>
        <v>=@INDEX(B2:H8,0,4)</v>
      </c>
      <c r="D11" s="3"/>
      <c r="E11" s="3"/>
      <c r="F11" s="3"/>
      <c r="G11" s="3"/>
      <c r="H11" s="3"/>
    </row>
    <row r="12" spans="1:9" x14ac:dyDescent="0.25">
      <c r="A12" s="13" t="s">
        <v>23</v>
      </c>
      <c r="B12" s="13" t="e">
        <f>INDEX(B2:H8,0,3)</f>
        <v>#VALUE!</v>
      </c>
      <c r="C12" s="10" t="str">
        <f ca="1">_xlfn.FORMULATEXT(B12)</f>
        <v>=@INDEX(B2:H8,0,3)</v>
      </c>
      <c r="D12" s="3"/>
      <c r="E12" s="3"/>
      <c r="F12" s="3"/>
      <c r="G12" s="3"/>
      <c r="H12" s="3"/>
    </row>
    <row r="13" spans="1:9" x14ac:dyDescent="0.25">
      <c r="B13" s="3"/>
      <c r="C13" s="3"/>
      <c r="D13" s="3"/>
      <c r="E13" s="3"/>
      <c r="F13" s="3"/>
      <c r="G13" s="3"/>
      <c r="H13" s="3"/>
    </row>
    <row r="14" spans="1:9" x14ac:dyDescent="0.25">
      <c r="A14" s="13" t="s">
        <v>24</v>
      </c>
      <c r="B14" s="5">
        <f>SUM( INDEX(B2:H8,0,3))</f>
        <v>587</v>
      </c>
      <c r="C14" s="10" t="str">
        <f ca="1">_xlfn.FORMULATEXT(B14)</f>
        <v>=SUM( INDEX(B2:H8,0,3))</v>
      </c>
    </row>
    <row r="15" spans="1:9" x14ac:dyDescent="0.25">
      <c r="A15" s="13" t="s">
        <v>25</v>
      </c>
      <c r="B15" s="13">
        <f>SUM( INDEX(B2:H8,4,0))</f>
        <v>551</v>
      </c>
      <c r="C15" s="10" t="str">
        <f ca="1">_xlfn.FORMULATEXT(B15)</f>
        <v>=SUM( INDEX(B2:H8,4,0))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6EEF-791A-4FA5-A394-56BC703ACD2E}">
  <sheetPr codeName="Sheet4"/>
  <dimension ref="A1:J19"/>
  <sheetViews>
    <sheetView showGridLines="0" zoomScale="115" zoomScaleNormal="115" workbookViewId="0">
      <selection activeCell="E18" sqref="E18"/>
    </sheetView>
  </sheetViews>
  <sheetFormatPr defaultRowHeight="15.75" x14ac:dyDescent="0.25"/>
  <cols>
    <col min="1" max="1" width="17.7109375" style="3" customWidth="1"/>
    <col min="2" max="2" width="9.85546875" style="6" customWidth="1"/>
    <col min="3" max="8" width="6.5703125" style="6" customWidth="1"/>
    <col min="9" max="9" width="6" style="3" customWidth="1"/>
    <col min="10" max="16384" width="9.140625" style="3"/>
  </cols>
  <sheetData>
    <row r="1" spans="1:10" x14ac:dyDescent="0.25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2" t="s">
        <v>26</v>
      </c>
    </row>
    <row r="2" spans="1:10" x14ac:dyDescent="0.25">
      <c r="A2" s="4" t="s">
        <v>10</v>
      </c>
      <c r="B2" s="5">
        <v>89</v>
      </c>
      <c r="C2" s="5">
        <v>76</v>
      </c>
      <c r="D2" s="12">
        <v>65</v>
      </c>
      <c r="E2" s="5">
        <v>57</v>
      </c>
      <c r="F2" s="5">
        <v>86</v>
      </c>
      <c r="G2" s="5">
        <v>56</v>
      </c>
      <c r="H2" s="5">
        <v>78</v>
      </c>
      <c r="J2" s="13">
        <f t="array" ref="J2:J8">INDEX(B2:H8,,3)</f>
        <v>65</v>
      </c>
    </row>
    <row r="3" spans="1:10" x14ac:dyDescent="0.25">
      <c r="A3" s="4" t="s">
        <v>8</v>
      </c>
      <c r="B3" s="5">
        <v>92</v>
      </c>
      <c r="C3" s="5">
        <v>69</v>
      </c>
      <c r="D3" s="12">
        <v>87</v>
      </c>
      <c r="E3" s="5">
        <v>55</v>
      </c>
      <c r="F3" s="5">
        <v>55</v>
      </c>
      <c r="G3" s="5">
        <v>60</v>
      </c>
      <c r="H3" s="5">
        <v>71</v>
      </c>
      <c r="J3" s="13">
        <v>87</v>
      </c>
    </row>
    <row r="4" spans="1:10" x14ac:dyDescent="0.25">
      <c r="A4" s="4" t="s">
        <v>11</v>
      </c>
      <c r="B4" s="5">
        <v>83</v>
      </c>
      <c r="C4" s="5">
        <v>55</v>
      </c>
      <c r="D4" s="12">
        <v>89</v>
      </c>
      <c r="E4" s="5">
        <v>95</v>
      </c>
      <c r="F4" s="5">
        <v>59</v>
      </c>
      <c r="G4" s="5">
        <v>96</v>
      </c>
      <c r="H4" s="5">
        <v>69</v>
      </c>
      <c r="J4" s="13">
        <v>89</v>
      </c>
    </row>
    <row r="5" spans="1:10" x14ac:dyDescent="0.25">
      <c r="A5" s="4" t="s">
        <v>9</v>
      </c>
      <c r="B5" s="12">
        <v>76</v>
      </c>
      <c r="C5" s="12">
        <v>75</v>
      </c>
      <c r="D5" s="14">
        <v>76</v>
      </c>
      <c r="E5" s="12">
        <v>93</v>
      </c>
      <c r="F5" s="12">
        <v>73</v>
      </c>
      <c r="G5" s="12">
        <v>95</v>
      </c>
      <c r="H5" s="12">
        <v>63</v>
      </c>
      <c r="J5" s="13">
        <v>76</v>
      </c>
    </row>
    <row r="6" spans="1:10" x14ac:dyDescent="0.25">
      <c r="A6" s="4" t="s">
        <v>12</v>
      </c>
      <c r="B6" s="5">
        <v>60</v>
      </c>
      <c r="C6" s="5">
        <v>94</v>
      </c>
      <c r="D6" s="12">
        <v>99</v>
      </c>
      <c r="E6" s="5">
        <v>60</v>
      </c>
      <c r="F6" s="5">
        <v>75</v>
      </c>
      <c r="G6" s="5">
        <v>89</v>
      </c>
      <c r="H6" s="5">
        <v>81</v>
      </c>
      <c r="J6" s="13">
        <v>99</v>
      </c>
    </row>
    <row r="7" spans="1:10" x14ac:dyDescent="0.25">
      <c r="A7" s="4" t="s">
        <v>7</v>
      </c>
      <c r="B7" s="5">
        <v>88</v>
      </c>
      <c r="C7" s="5">
        <v>79</v>
      </c>
      <c r="D7" s="12">
        <v>97</v>
      </c>
      <c r="E7" s="5">
        <v>57</v>
      </c>
      <c r="F7" s="5">
        <v>90</v>
      </c>
      <c r="G7" s="5">
        <v>85</v>
      </c>
      <c r="H7" s="5">
        <v>93</v>
      </c>
      <c r="J7" s="13">
        <v>97</v>
      </c>
    </row>
    <row r="8" spans="1:10" x14ac:dyDescent="0.25">
      <c r="A8" s="4" t="s">
        <v>13</v>
      </c>
      <c r="B8" s="5">
        <v>79</v>
      </c>
      <c r="C8" s="5">
        <v>76</v>
      </c>
      <c r="D8" s="16">
        <v>74</v>
      </c>
      <c r="E8" s="5">
        <v>71</v>
      </c>
      <c r="F8" s="5">
        <v>98</v>
      </c>
      <c r="G8" s="5">
        <v>95</v>
      </c>
      <c r="H8" s="5">
        <v>67</v>
      </c>
      <c r="J8" s="13">
        <v>74</v>
      </c>
    </row>
    <row r="9" spans="1:10" x14ac:dyDescent="0.25">
      <c r="D9" s="18">
        <f>SUM(D2:D8)</f>
        <v>587</v>
      </c>
    </row>
    <row r="10" spans="1:10" x14ac:dyDescent="0.25">
      <c r="D10" s="19"/>
    </row>
    <row r="11" spans="1:10" x14ac:dyDescent="0.25">
      <c r="A11" s="4" t="s">
        <v>9</v>
      </c>
      <c r="B11" s="5">
        <f t="array" ref="B11:H11">INDEX(B2:H8,4,0)</f>
        <v>76</v>
      </c>
      <c r="C11" s="5">
        <v>75</v>
      </c>
      <c r="D11" s="5">
        <v>76</v>
      </c>
      <c r="E11" s="5">
        <v>93</v>
      </c>
      <c r="F11" s="5">
        <v>73</v>
      </c>
      <c r="G11" s="5">
        <v>95</v>
      </c>
      <c r="H11" s="5">
        <v>63</v>
      </c>
    </row>
    <row r="12" spans="1:10" x14ac:dyDescent="0.25">
      <c r="D12" s="19"/>
    </row>
    <row r="13" spans="1:10" x14ac:dyDescent="0.25">
      <c r="D13" s="19"/>
    </row>
    <row r="14" spans="1:10" x14ac:dyDescent="0.25">
      <c r="D14" s="19"/>
      <c r="H14" s="3"/>
    </row>
    <row r="15" spans="1:10" x14ac:dyDescent="0.25">
      <c r="D15" s="19"/>
    </row>
    <row r="16" spans="1:10" x14ac:dyDescent="0.25">
      <c r="D16" s="19"/>
    </row>
    <row r="17" spans="4:4" x14ac:dyDescent="0.25">
      <c r="D17" s="19"/>
    </row>
    <row r="18" spans="4:4" x14ac:dyDescent="0.25">
      <c r="D18" s="19"/>
    </row>
    <row r="19" spans="4:4" x14ac:dyDescent="0.25">
      <c r="D19" s="19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2702-5464-45E5-BDEC-F4FB3FC7D6EC}">
  <sheetPr codeName="Sheet5"/>
  <dimension ref="A1:G19"/>
  <sheetViews>
    <sheetView showGridLines="0" zoomScale="115" zoomScaleNormal="115" workbookViewId="0">
      <selection activeCell="C18" sqref="C18"/>
    </sheetView>
  </sheetViews>
  <sheetFormatPr defaultRowHeight="18.75" x14ac:dyDescent="0.3"/>
  <cols>
    <col min="1" max="1" width="16" style="20" customWidth="1"/>
    <col min="2" max="5" width="9.7109375" style="21" customWidth="1"/>
    <col min="6" max="7" width="6.5703125" style="21" customWidth="1"/>
    <col min="8" max="16384" width="9.140625" style="20"/>
  </cols>
  <sheetData>
    <row r="1" spans="1:7" x14ac:dyDescent="0.3">
      <c r="A1" s="29" t="s">
        <v>33</v>
      </c>
      <c r="B1" s="26" t="s">
        <v>27</v>
      </c>
      <c r="C1" s="26" t="s">
        <v>28</v>
      </c>
      <c r="D1" s="26" t="s">
        <v>29</v>
      </c>
      <c r="E1" s="26" t="s">
        <v>30</v>
      </c>
      <c r="F1" s="20"/>
      <c r="G1" s="20"/>
    </row>
    <row r="2" spans="1:7" x14ac:dyDescent="0.3">
      <c r="A2" s="30" t="s">
        <v>31</v>
      </c>
      <c r="B2" s="27">
        <v>1000</v>
      </c>
      <c r="C2" s="27">
        <v>2000</v>
      </c>
      <c r="D2" s="27">
        <v>3000</v>
      </c>
      <c r="E2" s="27">
        <v>4000</v>
      </c>
      <c r="F2" s="20"/>
      <c r="G2" s="20"/>
    </row>
    <row r="3" spans="1:7" x14ac:dyDescent="0.3">
      <c r="A3" s="30" t="s">
        <v>35</v>
      </c>
      <c r="B3" s="27">
        <v>5000</v>
      </c>
      <c r="C3" s="27">
        <v>6000</v>
      </c>
      <c r="D3" s="27">
        <v>7000</v>
      </c>
      <c r="E3" s="27">
        <v>8000</v>
      </c>
      <c r="F3" s="20"/>
      <c r="G3" s="20"/>
    </row>
    <row r="4" spans="1:7" x14ac:dyDescent="0.3">
      <c r="A4" s="30" t="s">
        <v>32</v>
      </c>
      <c r="B4" s="27">
        <v>9000</v>
      </c>
      <c r="C4" s="27">
        <v>10000</v>
      </c>
      <c r="D4" s="27">
        <v>11000</v>
      </c>
      <c r="E4" s="27">
        <v>12000</v>
      </c>
      <c r="F4" s="20"/>
      <c r="G4" s="20"/>
    </row>
    <row r="5" spans="1:7" x14ac:dyDescent="0.3">
      <c r="A5" s="31"/>
      <c r="B5" s="28"/>
      <c r="C5" s="28"/>
      <c r="D5" s="28"/>
      <c r="E5" s="28"/>
      <c r="F5" s="20"/>
      <c r="G5" s="20"/>
    </row>
    <row r="6" spans="1:7" x14ac:dyDescent="0.3">
      <c r="A6" s="29" t="s">
        <v>34</v>
      </c>
      <c r="B6" s="26" t="str">
        <f>B1</f>
        <v>Qtr1</v>
      </c>
      <c r="C6" s="26" t="str">
        <f t="shared" ref="C6:E6" si="0">C1</f>
        <v>Qtr2</v>
      </c>
      <c r="D6" s="26" t="str">
        <f t="shared" si="0"/>
        <v>Qtr3</v>
      </c>
      <c r="E6" s="26" t="str">
        <f t="shared" si="0"/>
        <v>Qtr4</v>
      </c>
      <c r="F6" s="20"/>
      <c r="G6" s="20"/>
    </row>
    <row r="7" spans="1:7" x14ac:dyDescent="0.3">
      <c r="A7" s="30" t="str">
        <f>A2</f>
        <v>Deposits</v>
      </c>
      <c r="B7" s="27">
        <v>1500</v>
      </c>
      <c r="C7" s="27">
        <v>2500</v>
      </c>
      <c r="D7" s="27">
        <v>3500</v>
      </c>
      <c r="E7" s="27">
        <v>4500</v>
      </c>
      <c r="F7" s="20"/>
      <c r="G7" s="20"/>
    </row>
    <row r="8" spans="1:7" x14ac:dyDescent="0.3">
      <c r="A8" s="30" t="str">
        <f t="shared" ref="A8:A9" si="1">A3</f>
        <v>Cards</v>
      </c>
      <c r="B8" s="27">
        <v>5500</v>
      </c>
      <c r="C8" s="27">
        <v>6500</v>
      </c>
      <c r="D8" s="27">
        <v>7500</v>
      </c>
      <c r="E8" s="27">
        <v>8500</v>
      </c>
      <c r="F8" s="20"/>
      <c r="G8" s="20"/>
    </row>
    <row r="9" spans="1:7" x14ac:dyDescent="0.3">
      <c r="A9" s="30" t="str">
        <f t="shared" si="1"/>
        <v>Overdrafts</v>
      </c>
      <c r="B9" s="27">
        <v>9500</v>
      </c>
      <c r="C9" s="27">
        <v>10500</v>
      </c>
      <c r="D9" s="27">
        <v>11500</v>
      </c>
      <c r="E9" s="27">
        <v>12500</v>
      </c>
      <c r="F9" s="20"/>
      <c r="G9" s="20"/>
    </row>
    <row r="10" spans="1:7" x14ac:dyDescent="0.3">
      <c r="B10" s="20"/>
      <c r="C10" s="20"/>
      <c r="D10" s="20"/>
      <c r="E10" s="20"/>
      <c r="F10" s="20"/>
      <c r="G10" s="20"/>
    </row>
    <row r="11" spans="1:7" x14ac:dyDescent="0.3">
      <c r="A11" s="32" t="s">
        <v>37</v>
      </c>
      <c r="B11" s="22"/>
      <c r="C11" s="33"/>
      <c r="D11" s="24" t="s">
        <v>35</v>
      </c>
      <c r="E11" s="20"/>
      <c r="F11" s="20"/>
      <c r="G11" s="20"/>
    </row>
    <row r="12" spans="1:7" x14ac:dyDescent="0.3">
      <c r="A12" s="32" t="s">
        <v>38</v>
      </c>
      <c r="B12" s="22"/>
      <c r="C12" s="33"/>
      <c r="D12" s="24" t="s">
        <v>29</v>
      </c>
      <c r="E12" s="20"/>
      <c r="F12" s="20"/>
      <c r="G12" s="20"/>
    </row>
    <row r="13" spans="1:7" x14ac:dyDescent="0.3">
      <c r="A13" s="32" t="s">
        <v>39</v>
      </c>
      <c r="B13" s="22"/>
      <c r="C13" s="33"/>
      <c r="D13" s="24" t="s">
        <v>33</v>
      </c>
      <c r="E13" s="20"/>
      <c r="F13" s="20"/>
      <c r="G13" s="20"/>
    </row>
    <row r="14" spans="1:7" x14ac:dyDescent="0.3">
      <c r="B14" s="20"/>
      <c r="C14" s="20"/>
      <c r="D14" s="20"/>
      <c r="E14" s="20"/>
      <c r="F14" s="20"/>
      <c r="G14" s="20"/>
    </row>
    <row r="15" spans="1:7" x14ac:dyDescent="0.3">
      <c r="A15" s="25" t="s">
        <v>36</v>
      </c>
      <c r="B15" s="36"/>
      <c r="C15" s="37"/>
      <c r="D15" s="35">
        <f>INDEX(BeirutOutside,MATCH(D11,A2:A4,0),MATCH(D12,B1:E1,0),IF(D13=A1,1,2))</f>
        <v>7000</v>
      </c>
      <c r="E15" s="34" t="str">
        <f ca="1">_xlfn.FORMULATEXT(D15)</f>
        <v>=INDEX(BeirutOutside,MATCH(D11,A2:A4,0),MATCH(D12,B1:E1,0),IF(D13=A1,1,2))</v>
      </c>
      <c r="F15" s="20"/>
      <c r="G15" s="20"/>
    </row>
    <row r="16" spans="1:7" x14ac:dyDescent="0.3">
      <c r="D16" s="23"/>
    </row>
    <row r="17" spans="4:4" s="21" customFormat="1" x14ac:dyDescent="0.3">
      <c r="D17" s="23"/>
    </row>
    <row r="18" spans="4:4" s="21" customFormat="1" x14ac:dyDescent="0.3">
      <c r="D18" s="23"/>
    </row>
    <row r="19" spans="4:4" s="21" customFormat="1" x14ac:dyDescent="0.3">
      <c r="D19" s="23"/>
    </row>
  </sheetData>
  <dataValidations disablePrompts="1" count="3">
    <dataValidation type="list" allowBlank="1" showInputMessage="1" showErrorMessage="1" sqref="D11" xr:uid="{A63A5942-092F-4E35-BEA8-C908F53D1A14}">
      <formula1>$A$2:$A$4</formula1>
    </dataValidation>
    <dataValidation type="list" allowBlank="1" showInputMessage="1" showErrorMessage="1" sqref="D12" xr:uid="{0E0DF488-D9CC-4A53-BF37-9597FB9D6238}">
      <formula1>$B$6:$E$6</formula1>
    </dataValidation>
    <dataValidation type="list" allowBlank="1" showInputMessage="1" showErrorMessage="1" sqref="D13" xr:uid="{5F15EC0F-2258-4189-AB74-7C9B586890D2}">
      <formula1>"Beirut, OutSideBeirut"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8AEF-2A28-4139-B796-B07A729AAFE8}">
  <sheetPr codeName="Sheet6"/>
  <dimension ref="A1:F201"/>
  <sheetViews>
    <sheetView showGridLines="0" topLeftCell="A2" workbookViewId="0">
      <selection activeCell="B2" sqref="B2:B191"/>
    </sheetView>
  </sheetViews>
  <sheetFormatPr defaultRowHeight="19.5" x14ac:dyDescent="0.3"/>
  <cols>
    <col min="1" max="1" width="32.85546875" style="43" bestFit="1" customWidth="1"/>
    <col min="2" max="2" width="36" customWidth="1"/>
    <col min="3" max="3" width="24.42578125" style="45" customWidth="1"/>
    <col min="4" max="4" width="27.5703125" bestFit="1" customWidth="1"/>
  </cols>
  <sheetData>
    <row r="1" spans="1:6" x14ac:dyDescent="0.3">
      <c r="A1" s="38" t="s">
        <v>40</v>
      </c>
      <c r="B1" s="38" t="s">
        <v>41</v>
      </c>
      <c r="C1" s="39" t="s">
        <v>42</v>
      </c>
      <c r="D1" s="38" t="s">
        <v>43</v>
      </c>
      <c r="F1" s="40"/>
    </row>
    <row r="2" spans="1:6" x14ac:dyDescent="0.3">
      <c r="A2" s="41" t="s">
        <v>44</v>
      </c>
      <c r="B2" s="41" t="s">
        <v>45</v>
      </c>
      <c r="C2" s="42" t="e">
        <f t="shared" ref="C2:C33" si="0">INDEX(List2, MATCH(B2,List1,0),1)</f>
        <v>#N/A</v>
      </c>
      <c r="D2" s="42" t="e">
        <f t="shared" ref="D2:D33" si="1">INDEX(List2,MATCH(A2,List2,0),1)</f>
        <v>#N/A</v>
      </c>
      <c r="F2" s="40"/>
    </row>
    <row r="3" spans="1:6" x14ac:dyDescent="0.3">
      <c r="A3" s="41" t="s">
        <v>46</v>
      </c>
      <c r="B3" s="41" t="s">
        <v>47</v>
      </c>
      <c r="C3" s="42" t="e">
        <f t="shared" si="0"/>
        <v>#N/A</v>
      </c>
      <c r="D3" s="42" t="e">
        <f t="shared" si="1"/>
        <v>#N/A</v>
      </c>
      <c r="F3" s="40"/>
    </row>
    <row r="4" spans="1:6" x14ac:dyDescent="0.3">
      <c r="A4" s="41" t="s">
        <v>48</v>
      </c>
      <c r="B4" s="41" t="s">
        <v>49</v>
      </c>
      <c r="C4" s="42" t="e">
        <f t="shared" si="0"/>
        <v>#N/A</v>
      </c>
      <c r="D4" s="42" t="e">
        <f t="shared" si="1"/>
        <v>#N/A</v>
      </c>
      <c r="F4" s="40"/>
    </row>
    <row r="5" spans="1:6" x14ac:dyDescent="0.3">
      <c r="A5" s="41" t="s">
        <v>50</v>
      </c>
      <c r="B5" s="41" t="s">
        <v>51</v>
      </c>
      <c r="C5" s="42" t="e">
        <f t="shared" si="0"/>
        <v>#N/A</v>
      </c>
      <c r="D5" s="42" t="e">
        <f t="shared" si="1"/>
        <v>#N/A</v>
      </c>
      <c r="F5" s="40"/>
    </row>
    <row r="6" spans="1:6" x14ac:dyDescent="0.3">
      <c r="A6" s="41" t="s">
        <v>52</v>
      </c>
      <c r="B6" s="41" t="s">
        <v>53</v>
      </c>
      <c r="C6" s="42" t="e">
        <f t="shared" si="0"/>
        <v>#N/A</v>
      </c>
      <c r="D6" s="42" t="e">
        <f t="shared" si="1"/>
        <v>#N/A</v>
      </c>
      <c r="F6" s="40"/>
    </row>
    <row r="7" spans="1:6" x14ac:dyDescent="0.3">
      <c r="A7" s="41" t="s">
        <v>54</v>
      </c>
      <c r="B7" s="41" t="s">
        <v>55</v>
      </c>
      <c r="C7" s="46" t="str">
        <f t="shared" si="0"/>
        <v>Kaissar Wickham</v>
      </c>
      <c r="D7" s="42" t="e">
        <f t="shared" si="1"/>
        <v>#N/A</v>
      </c>
      <c r="F7" s="40"/>
    </row>
    <row r="8" spans="1:6" x14ac:dyDescent="0.3">
      <c r="A8" s="41" t="s">
        <v>56</v>
      </c>
      <c r="B8" s="41" t="s">
        <v>57</v>
      </c>
      <c r="C8" s="42" t="e">
        <f t="shared" si="0"/>
        <v>#N/A</v>
      </c>
      <c r="D8" s="42" t="e">
        <f t="shared" si="1"/>
        <v>#N/A</v>
      </c>
      <c r="F8" s="40"/>
    </row>
    <row r="9" spans="1:6" x14ac:dyDescent="0.3">
      <c r="A9" s="41" t="s">
        <v>58</v>
      </c>
      <c r="B9" s="41" t="s">
        <v>59</v>
      </c>
      <c r="C9" s="42" t="e">
        <f t="shared" si="0"/>
        <v>#N/A</v>
      </c>
      <c r="D9" s="46" t="str">
        <f t="shared" si="1"/>
        <v>Marisa Salman</v>
      </c>
    </row>
    <row r="10" spans="1:6" x14ac:dyDescent="0.3">
      <c r="A10" s="41" t="s">
        <v>60</v>
      </c>
      <c r="B10" s="41" t="s">
        <v>61</v>
      </c>
      <c r="C10" s="42" t="e">
        <f t="shared" si="0"/>
        <v>#N/A</v>
      </c>
      <c r="D10" s="42" t="e">
        <f t="shared" si="1"/>
        <v>#N/A</v>
      </c>
    </row>
    <row r="11" spans="1:6" x14ac:dyDescent="0.3">
      <c r="A11" s="41" t="s">
        <v>62</v>
      </c>
      <c r="B11" s="41" t="s">
        <v>63</v>
      </c>
      <c r="C11" s="42" t="e">
        <f t="shared" si="0"/>
        <v>#N/A</v>
      </c>
      <c r="D11" s="42" t="e">
        <f t="shared" si="1"/>
        <v>#N/A</v>
      </c>
    </row>
    <row r="12" spans="1:6" x14ac:dyDescent="0.3">
      <c r="A12" s="41" t="s">
        <v>64</v>
      </c>
      <c r="B12" s="41" t="s">
        <v>65</v>
      </c>
      <c r="C12" s="42" t="e">
        <f t="shared" si="0"/>
        <v>#N/A</v>
      </c>
      <c r="D12" s="42" t="e">
        <f t="shared" si="1"/>
        <v>#N/A</v>
      </c>
    </row>
    <row r="13" spans="1:6" x14ac:dyDescent="0.3">
      <c r="A13" s="41" t="s">
        <v>66</v>
      </c>
      <c r="B13" s="41" t="s">
        <v>67</v>
      </c>
      <c r="C13" s="42" t="e">
        <f t="shared" si="0"/>
        <v>#N/A</v>
      </c>
      <c r="D13" s="42" t="e">
        <f t="shared" si="1"/>
        <v>#N/A</v>
      </c>
    </row>
    <row r="14" spans="1:6" x14ac:dyDescent="0.3">
      <c r="A14" s="41" t="s">
        <v>68</v>
      </c>
      <c r="B14" s="41" t="s">
        <v>69</v>
      </c>
      <c r="C14" s="42" t="e">
        <f t="shared" si="0"/>
        <v>#N/A</v>
      </c>
      <c r="D14" s="42" t="e">
        <f t="shared" si="1"/>
        <v>#N/A</v>
      </c>
    </row>
    <row r="15" spans="1:6" x14ac:dyDescent="0.3">
      <c r="A15" s="41" t="s">
        <v>70</v>
      </c>
      <c r="B15" s="41" t="s">
        <v>71</v>
      </c>
      <c r="C15" s="42" t="e">
        <f t="shared" si="0"/>
        <v>#N/A</v>
      </c>
      <c r="D15" s="42" t="e">
        <f t="shared" si="1"/>
        <v>#N/A</v>
      </c>
    </row>
    <row r="16" spans="1:6" x14ac:dyDescent="0.3">
      <c r="A16" s="41" t="s">
        <v>72</v>
      </c>
      <c r="B16" s="41" t="s">
        <v>73</v>
      </c>
      <c r="C16" s="42" t="e">
        <f t="shared" si="0"/>
        <v>#N/A</v>
      </c>
      <c r="D16" s="42" t="e">
        <f t="shared" si="1"/>
        <v>#N/A</v>
      </c>
    </row>
    <row r="17" spans="1:4" x14ac:dyDescent="0.3">
      <c r="A17" s="41" t="s">
        <v>55</v>
      </c>
      <c r="B17" s="41" t="s">
        <v>74</v>
      </c>
      <c r="C17" s="42" t="e">
        <f t="shared" si="0"/>
        <v>#N/A</v>
      </c>
      <c r="D17" s="46" t="str">
        <f t="shared" si="1"/>
        <v>Osama Shehabi</v>
      </c>
    </row>
    <row r="18" spans="1:4" x14ac:dyDescent="0.3">
      <c r="A18" s="41" t="s">
        <v>75</v>
      </c>
      <c r="B18" s="41" t="s">
        <v>76</v>
      </c>
      <c r="C18" s="42" t="e">
        <f t="shared" si="0"/>
        <v>#N/A</v>
      </c>
      <c r="D18" s="42" t="e">
        <f t="shared" si="1"/>
        <v>#N/A</v>
      </c>
    </row>
    <row r="19" spans="1:4" x14ac:dyDescent="0.3">
      <c r="A19" s="41" t="s">
        <v>77</v>
      </c>
      <c r="B19" s="41" t="s">
        <v>78</v>
      </c>
      <c r="C19" s="42" t="e">
        <f t="shared" si="0"/>
        <v>#N/A</v>
      </c>
      <c r="D19" s="42" t="e">
        <f t="shared" si="1"/>
        <v>#N/A</v>
      </c>
    </row>
    <row r="20" spans="1:4" x14ac:dyDescent="0.3">
      <c r="A20" s="41" t="s">
        <v>79</v>
      </c>
      <c r="B20" s="41" t="s">
        <v>80</v>
      </c>
      <c r="C20" s="42" t="e">
        <f t="shared" si="0"/>
        <v>#N/A</v>
      </c>
      <c r="D20" s="42" t="e">
        <f t="shared" si="1"/>
        <v>#N/A</v>
      </c>
    </row>
    <row r="21" spans="1:4" x14ac:dyDescent="0.3">
      <c r="A21" s="41" t="s">
        <v>81</v>
      </c>
      <c r="B21" s="41" t="s">
        <v>58</v>
      </c>
      <c r="C21" s="46" t="str">
        <f t="shared" si="0"/>
        <v>Vida Mokbel</v>
      </c>
      <c r="D21" s="42" t="e">
        <f t="shared" si="1"/>
        <v>#N/A</v>
      </c>
    </row>
    <row r="22" spans="1:4" x14ac:dyDescent="0.3">
      <c r="A22" s="41" t="s">
        <v>82</v>
      </c>
      <c r="B22" s="41" t="s">
        <v>83</v>
      </c>
      <c r="C22" s="42" t="e">
        <f t="shared" si="0"/>
        <v>#N/A</v>
      </c>
      <c r="D22" s="42" t="e">
        <f t="shared" si="1"/>
        <v>#N/A</v>
      </c>
    </row>
    <row r="23" spans="1:4" x14ac:dyDescent="0.3">
      <c r="A23" s="41" t="s">
        <v>84</v>
      </c>
      <c r="B23" s="41" t="s">
        <v>85</v>
      </c>
      <c r="C23" s="42" t="e">
        <f t="shared" si="0"/>
        <v>#N/A</v>
      </c>
      <c r="D23" s="42" t="e">
        <f t="shared" si="1"/>
        <v>#N/A</v>
      </c>
    </row>
    <row r="24" spans="1:4" x14ac:dyDescent="0.3">
      <c r="A24" s="41" t="s">
        <v>86</v>
      </c>
      <c r="B24" s="41" t="s">
        <v>87</v>
      </c>
      <c r="C24" s="42" t="e">
        <f t="shared" si="0"/>
        <v>#N/A</v>
      </c>
      <c r="D24" s="42" t="e">
        <f t="shared" si="1"/>
        <v>#N/A</v>
      </c>
    </row>
    <row r="25" spans="1:4" x14ac:dyDescent="0.3">
      <c r="A25" s="41" t="s">
        <v>88</v>
      </c>
      <c r="B25" s="41" t="s">
        <v>89</v>
      </c>
      <c r="C25" s="42" t="e">
        <f t="shared" si="0"/>
        <v>#N/A</v>
      </c>
      <c r="D25" s="42" t="e">
        <f t="shared" si="1"/>
        <v>#N/A</v>
      </c>
    </row>
    <row r="26" spans="1:4" x14ac:dyDescent="0.3">
      <c r="A26" s="41" t="s">
        <v>90</v>
      </c>
      <c r="B26" s="41" t="s">
        <v>91</v>
      </c>
      <c r="C26" s="46" t="str">
        <f t="shared" si="0"/>
        <v>Tony ElKhoury</v>
      </c>
      <c r="D26" s="42" t="e">
        <f t="shared" si="1"/>
        <v>#N/A</v>
      </c>
    </row>
    <row r="27" spans="1:4" x14ac:dyDescent="0.3">
      <c r="A27" s="41" t="s">
        <v>92</v>
      </c>
      <c r="B27" s="41" t="s">
        <v>93</v>
      </c>
      <c r="C27" s="42" t="e">
        <f t="shared" si="0"/>
        <v>#N/A</v>
      </c>
      <c r="D27" s="42" t="e">
        <f t="shared" si="1"/>
        <v>#N/A</v>
      </c>
    </row>
    <row r="28" spans="1:4" x14ac:dyDescent="0.3">
      <c r="A28" s="41" t="s">
        <v>91</v>
      </c>
      <c r="B28" s="41" t="s">
        <v>94</v>
      </c>
      <c r="C28" s="42" t="e">
        <f t="shared" si="0"/>
        <v>#N/A</v>
      </c>
      <c r="D28" s="46" t="str">
        <f t="shared" si="1"/>
        <v>Iante Kabbara</v>
      </c>
    </row>
    <row r="29" spans="1:4" x14ac:dyDescent="0.3">
      <c r="A29" s="41" t="s">
        <v>95</v>
      </c>
      <c r="B29" s="41" t="s">
        <v>96</v>
      </c>
      <c r="C29" s="42" t="e">
        <f t="shared" si="0"/>
        <v>#N/A</v>
      </c>
      <c r="D29" s="42" t="e">
        <f t="shared" si="1"/>
        <v>#N/A</v>
      </c>
    </row>
    <row r="30" spans="1:4" x14ac:dyDescent="0.3">
      <c r="A30" s="41" t="s">
        <v>97</v>
      </c>
      <c r="B30" s="41" t="s">
        <v>98</v>
      </c>
      <c r="C30" s="42" t="e">
        <f t="shared" si="0"/>
        <v>#N/A</v>
      </c>
      <c r="D30" s="42" t="e">
        <f t="shared" si="1"/>
        <v>#N/A</v>
      </c>
    </row>
    <row r="31" spans="1:4" x14ac:dyDescent="0.3">
      <c r="A31" s="41" t="s">
        <v>99</v>
      </c>
      <c r="B31" s="41" t="s">
        <v>100</v>
      </c>
      <c r="C31" s="46" t="str">
        <f t="shared" si="0"/>
        <v>Fadoie Najjar</v>
      </c>
      <c r="D31" s="42" t="e">
        <f t="shared" si="1"/>
        <v>#N/A</v>
      </c>
    </row>
    <row r="32" spans="1:4" x14ac:dyDescent="0.3">
      <c r="A32" s="41" t="s">
        <v>101</v>
      </c>
      <c r="B32" s="41" t="s">
        <v>102</v>
      </c>
      <c r="C32" s="42" t="e">
        <f t="shared" si="0"/>
        <v>#N/A</v>
      </c>
      <c r="D32" s="42" t="e">
        <f t="shared" si="1"/>
        <v>#N/A</v>
      </c>
    </row>
    <row r="33" spans="1:4" x14ac:dyDescent="0.3">
      <c r="A33" s="41" t="s">
        <v>103</v>
      </c>
      <c r="B33" s="41" t="s">
        <v>104</v>
      </c>
      <c r="C33" s="42" t="e">
        <f t="shared" si="0"/>
        <v>#N/A</v>
      </c>
      <c r="D33" s="42" t="e">
        <f t="shared" si="1"/>
        <v>#N/A</v>
      </c>
    </row>
    <row r="34" spans="1:4" x14ac:dyDescent="0.3">
      <c r="A34" s="41" t="s">
        <v>105</v>
      </c>
      <c r="B34" s="41" t="s">
        <v>106</v>
      </c>
      <c r="C34" s="42" t="e">
        <f t="shared" ref="C34:C65" si="2">INDEX(List2, MATCH(B34,List1,0),1)</f>
        <v>#N/A</v>
      </c>
      <c r="D34" s="42" t="e">
        <f t="shared" ref="D34:D65" si="3">INDEX(List2,MATCH(A34,List2,0),1)</f>
        <v>#N/A</v>
      </c>
    </row>
    <row r="35" spans="1:4" x14ac:dyDescent="0.3">
      <c r="A35" s="41" t="s">
        <v>107</v>
      </c>
      <c r="B35" s="41" t="s">
        <v>108</v>
      </c>
      <c r="C35" s="42" t="e">
        <f t="shared" si="2"/>
        <v>#N/A</v>
      </c>
      <c r="D35" s="42" t="e">
        <f t="shared" si="3"/>
        <v>#N/A</v>
      </c>
    </row>
    <row r="36" spans="1:4" x14ac:dyDescent="0.3">
      <c r="A36" s="41" t="s">
        <v>100</v>
      </c>
      <c r="B36" s="41" t="s">
        <v>109</v>
      </c>
      <c r="C36" s="42" t="e">
        <f t="shared" si="2"/>
        <v>#N/A</v>
      </c>
      <c r="D36" s="46" t="str">
        <f t="shared" si="3"/>
        <v>Nahla Malouf</v>
      </c>
    </row>
    <row r="37" spans="1:4" x14ac:dyDescent="0.3">
      <c r="A37" s="41" t="s">
        <v>110</v>
      </c>
      <c r="B37" s="41" t="s">
        <v>111</v>
      </c>
      <c r="C37" s="42" t="e">
        <f t="shared" si="2"/>
        <v>#N/A</v>
      </c>
      <c r="D37" s="42" t="e">
        <f t="shared" si="3"/>
        <v>#N/A</v>
      </c>
    </row>
    <row r="38" spans="1:4" x14ac:dyDescent="0.3">
      <c r="A38" s="41" t="s">
        <v>112</v>
      </c>
      <c r="B38" s="41" t="s">
        <v>113</v>
      </c>
      <c r="C38" s="42" t="e">
        <f t="shared" si="2"/>
        <v>#N/A</v>
      </c>
      <c r="D38" s="42" t="e">
        <f t="shared" si="3"/>
        <v>#N/A</v>
      </c>
    </row>
    <row r="39" spans="1:4" x14ac:dyDescent="0.3">
      <c r="A39" s="41" t="s">
        <v>114</v>
      </c>
      <c r="B39" s="41" t="s">
        <v>115</v>
      </c>
      <c r="C39" s="42" t="e">
        <f t="shared" si="2"/>
        <v>#N/A</v>
      </c>
      <c r="D39" s="42" t="e">
        <f t="shared" si="3"/>
        <v>#N/A</v>
      </c>
    </row>
    <row r="40" spans="1:4" x14ac:dyDescent="0.3">
      <c r="A40" s="41" t="s">
        <v>116</v>
      </c>
      <c r="B40" s="41" t="s">
        <v>117</v>
      </c>
      <c r="C40" s="46" t="str">
        <f t="shared" si="2"/>
        <v>Claude Zurub</v>
      </c>
      <c r="D40" s="42" t="e">
        <f t="shared" si="3"/>
        <v>#N/A</v>
      </c>
    </row>
    <row r="41" spans="1:4" x14ac:dyDescent="0.3">
      <c r="A41" s="41" t="s">
        <v>117</v>
      </c>
      <c r="B41" s="41" t="s">
        <v>118</v>
      </c>
      <c r="C41" s="42" t="e">
        <f t="shared" si="2"/>
        <v>#N/A</v>
      </c>
      <c r="D41" s="46" t="str">
        <f t="shared" si="3"/>
        <v>Georges Maalouf</v>
      </c>
    </row>
    <row r="42" spans="1:4" x14ac:dyDescent="0.3">
      <c r="A42" s="41" t="s">
        <v>119</v>
      </c>
      <c r="B42" s="41" t="s">
        <v>120</v>
      </c>
      <c r="C42" s="42" t="e">
        <f t="shared" si="2"/>
        <v>#N/A</v>
      </c>
      <c r="D42" s="42" t="e">
        <f t="shared" si="3"/>
        <v>#N/A</v>
      </c>
    </row>
    <row r="43" spans="1:4" x14ac:dyDescent="0.3">
      <c r="A43" s="41" t="s">
        <v>121</v>
      </c>
      <c r="B43" s="41" t="s">
        <v>122</v>
      </c>
      <c r="C43" s="42" t="e">
        <f t="shared" si="2"/>
        <v>#N/A</v>
      </c>
      <c r="D43" s="42" t="e">
        <f t="shared" si="3"/>
        <v>#N/A</v>
      </c>
    </row>
    <row r="44" spans="1:4" x14ac:dyDescent="0.3">
      <c r="A44" s="41" t="s">
        <v>123</v>
      </c>
      <c r="B44" s="41" t="s">
        <v>124</v>
      </c>
      <c r="C44" s="42" t="e">
        <f t="shared" si="2"/>
        <v>#N/A</v>
      </c>
      <c r="D44" s="42" t="e">
        <f t="shared" si="3"/>
        <v>#N/A</v>
      </c>
    </row>
    <row r="45" spans="1:4" x14ac:dyDescent="0.3">
      <c r="A45" s="41" t="s">
        <v>125</v>
      </c>
      <c r="B45" s="41" t="s">
        <v>126</v>
      </c>
      <c r="C45" s="42" t="e">
        <f t="shared" si="2"/>
        <v>#N/A</v>
      </c>
      <c r="D45" s="42" t="e">
        <f t="shared" si="3"/>
        <v>#N/A</v>
      </c>
    </row>
    <row r="46" spans="1:4" x14ac:dyDescent="0.3">
      <c r="A46" s="41" t="s">
        <v>127</v>
      </c>
      <c r="B46" s="41" t="s">
        <v>128</v>
      </c>
      <c r="C46" s="42" t="e">
        <f t="shared" si="2"/>
        <v>#N/A</v>
      </c>
      <c r="D46" s="42" t="e">
        <f t="shared" si="3"/>
        <v>#N/A</v>
      </c>
    </row>
    <row r="47" spans="1:4" x14ac:dyDescent="0.3">
      <c r="A47" s="41" t="s">
        <v>129</v>
      </c>
      <c r="B47" s="41" t="s">
        <v>130</v>
      </c>
      <c r="C47" s="42" t="e">
        <f t="shared" si="2"/>
        <v>#N/A</v>
      </c>
      <c r="D47" s="42" t="e">
        <f t="shared" si="3"/>
        <v>#N/A</v>
      </c>
    </row>
    <row r="48" spans="1:4" x14ac:dyDescent="0.3">
      <c r="A48" s="41" t="s">
        <v>131</v>
      </c>
      <c r="B48" s="41" t="s">
        <v>132</v>
      </c>
      <c r="C48" s="42" t="e">
        <f t="shared" si="2"/>
        <v>#N/A</v>
      </c>
      <c r="D48" s="42" t="e">
        <f t="shared" si="3"/>
        <v>#N/A</v>
      </c>
    </row>
    <row r="49" spans="1:4" x14ac:dyDescent="0.3">
      <c r="A49" s="41" t="s">
        <v>133</v>
      </c>
      <c r="B49" s="41" t="s">
        <v>134</v>
      </c>
      <c r="C49" s="42" t="e">
        <f t="shared" si="2"/>
        <v>#N/A</v>
      </c>
      <c r="D49" s="42" t="e">
        <f t="shared" si="3"/>
        <v>#N/A</v>
      </c>
    </row>
    <row r="50" spans="1:4" x14ac:dyDescent="0.3">
      <c r="A50" s="41" t="s">
        <v>135</v>
      </c>
      <c r="B50" s="41" t="s">
        <v>136</v>
      </c>
      <c r="C50" s="42" t="e">
        <f t="shared" si="2"/>
        <v>#N/A</v>
      </c>
      <c r="D50" s="42" t="e">
        <f t="shared" si="3"/>
        <v>#N/A</v>
      </c>
    </row>
    <row r="51" spans="1:4" x14ac:dyDescent="0.3">
      <c r="A51" s="41" t="s">
        <v>137</v>
      </c>
      <c r="B51" s="41" t="s">
        <v>138</v>
      </c>
      <c r="C51" s="42" t="e">
        <f t="shared" si="2"/>
        <v>#N/A</v>
      </c>
      <c r="D51" s="42" t="e">
        <f t="shared" si="3"/>
        <v>#N/A</v>
      </c>
    </row>
    <row r="52" spans="1:4" x14ac:dyDescent="0.3">
      <c r="A52" s="41" t="s">
        <v>139</v>
      </c>
      <c r="B52" s="41" t="s">
        <v>140</v>
      </c>
      <c r="C52" s="42" t="e">
        <f t="shared" si="2"/>
        <v>#N/A</v>
      </c>
      <c r="D52" s="42" t="e">
        <f t="shared" si="3"/>
        <v>#N/A</v>
      </c>
    </row>
    <row r="53" spans="1:4" x14ac:dyDescent="0.3">
      <c r="A53" s="41" t="s">
        <v>141</v>
      </c>
      <c r="B53" s="41" t="s">
        <v>142</v>
      </c>
      <c r="C53" s="42" t="e">
        <f t="shared" si="2"/>
        <v>#N/A</v>
      </c>
      <c r="D53" s="42" t="e">
        <f t="shared" si="3"/>
        <v>#N/A</v>
      </c>
    </row>
    <row r="54" spans="1:4" x14ac:dyDescent="0.3">
      <c r="A54" s="41" t="s">
        <v>143</v>
      </c>
      <c r="B54" s="41" t="s">
        <v>144</v>
      </c>
      <c r="C54" s="42" t="e">
        <f t="shared" si="2"/>
        <v>#N/A</v>
      </c>
      <c r="D54" s="42" t="e">
        <f t="shared" si="3"/>
        <v>#N/A</v>
      </c>
    </row>
    <row r="55" spans="1:4" x14ac:dyDescent="0.3">
      <c r="A55" s="41" t="s">
        <v>145</v>
      </c>
      <c r="B55" s="41" t="s">
        <v>146</v>
      </c>
      <c r="C55" s="42" t="e">
        <f t="shared" si="2"/>
        <v>#N/A</v>
      </c>
      <c r="D55" s="42" t="e">
        <f t="shared" si="3"/>
        <v>#N/A</v>
      </c>
    </row>
    <row r="56" spans="1:4" x14ac:dyDescent="0.3">
      <c r="A56" s="41" t="s">
        <v>147</v>
      </c>
      <c r="B56" s="41" t="s">
        <v>148</v>
      </c>
      <c r="C56" s="42" t="e">
        <f t="shared" si="2"/>
        <v>#N/A</v>
      </c>
      <c r="D56" s="46" t="str">
        <f t="shared" si="3"/>
        <v>Carmen Nahas</v>
      </c>
    </row>
    <row r="57" spans="1:4" x14ac:dyDescent="0.3">
      <c r="A57" s="41" t="s">
        <v>149</v>
      </c>
      <c r="B57" s="41" t="s">
        <v>150</v>
      </c>
      <c r="C57" s="42" t="e">
        <f t="shared" si="2"/>
        <v>#N/A</v>
      </c>
      <c r="D57" s="42" t="e">
        <f t="shared" si="3"/>
        <v>#N/A</v>
      </c>
    </row>
    <row r="58" spans="1:4" x14ac:dyDescent="0.3">
      <c r="A58" s="41" t="s">
        <v>151</v>
      </c>
      <c r="B58" s="41" t="s">
        <v>152</v>
      </c>
      <c r="C58" s="42" t="e">
        <f t="shared" si="2"/>
        <v>#N/A</v>
      </c>
      <c r="D58" s="42" t="e">
        <f t="shared" si="3"/>
        <v>#N/A</v>
      </c>
    </row>
    <row r="59" spans="1:4" x14ac:dyDescent="0.3">
      <c r="A59" s="41" t="s">
        <v>153</v>
      </c>
      <c r="B59" s="41" t="s">
        <v>154</v>
      </c>
      <c r="C59" s="42" t="e">
        <f t="shared" si="2"/>
        <v>#N/A</v>
      </c>
      <c r="D59" s="42" t="e">
        <f t="shared" si="3"/>
        <v>#N/A</v>
      </c>
    </row>
    <row r="60" spans="1:4" x14ac:dyDescent="0.3">
      <c r="A60" s="41" t="s">
        <v>155</v>
      </c>
      <c r="B60" s="41" t="s">
        <v>147</v>
      </c>
      <c r="C60" s="46" t="str">
        <f t="shared" si="2"/>
        <v>Ahmad Beydoun</v>
      </c>
      <c r="D60" s="42" t="e">
        <f t="shared" si="3"/>
        <v>#N/A</v>
      </c>
    </row>
    <row r="61" spans="1:4" x14ac:dyDescent="0.3">
      <c r="A61" s="41" t="s">
        <v>156</v>
      </c>
      <c r="B61" s="41" t="s">
        <v>157</v>
      </c>
      <c r="C61" s="42" t="e">
        <f t="shared" si="2"/>
        <v>#N/A</v>
      </c>
      <c r="D61" s="42" t="e">
        <f t="shared" si="3"/>
        <v>#N/A</v>
      </c>
    </row>
    <row r="62" spans="1:4" x14ac:dyDescent="0.3">
      <c r="A62" s="41" t="s">
        <v>158</v>
      </c>
      <c r="B62" s="41" t="s">
        <v>159</v>
      </c>
      <c r="C62" s="42" t="e">
        <f t="shared" si="2"/>
        <v>#N/A</v>
      </c>
      <c r="D62" s="42" t="e">
        <f t="shared" si="3"/>
        <v>#N/A</v>
      </c>
    </row>
    <row r="63" spans="1:4" x14ac:dyDescent="0.3">
      <c r="A63" s="41" t="s">
        <v>160</v>
      </c>
      <c r="B63" s="41" t="s">
        <v>161</v>
      </c>
      <c r="C63" s="42" t="e">
        <f t="shared" si="2"/>
        <v>#N/A</v>
      </c>
      <c r="D63" s="42" t="e">
        <f t="shared" si="3"/>
        <v>#N/A</v>
      </c>
    </row>
    <row r="64" spans="1:4" x14ac:dyDescent="0.3">
      <c r="A64" s="41" t="s">
        <v>162</v>
      </c>
      <c r="B64" s="41" t="s">
        <v>163</v>
      </c>
      <c r="C64" s="42" t="e">
        <f t="shared" si="2"/>
        <v>#N/A</v>
      </c>
      <c r="D64" s="42" t="e">
        <f t="shared" si="3"/>
        <v>#N/A</v>
      </c>
    </row>
    <row r="65" spans="1:4" x14ac:dyDescent="0.3">
      <c r="A65" s="41" t="s">
        <v>164</v>
      </c>
      <c r="B65" s="41" t="s">
        <v>165</v>
      </c>
      <c r="C65" s="42" t="e">
        <f t="shared" si="2"/>
        <v>#N/A</v>
      </c>
      <c r="D65" s="42" t="e">
        <f t="shared" si="3"/>
        <v>#N/A</v>
      </c>
    </row>
    <row r="66" spans="1:4" x14ac:dyDescent="0.3">
      <c r="A66" s="41" t="s">
        <v>166</v>
      </c>
      <c r="B66" s="41" t="s">
        <v>167</v>
      </c>
      <c r="C66" s="42" t="e">
        <f t="shared" ref="C66:C97" si="4">INDEX(List2, MATCH(B66,List1,0),1)</f>
        <v>#N/A</v>
      </c>
      <c r="D66" s="42" t="e">
        <f t="shared" ref="D66:D97" si="5">INDEX(List2,MATCH(A66,List2,0),1)</f>
        <v>#N/A</v>
      </c>
    </row>
    <row r="67" spans="1:4" x14ac:dyDescent="0.3">
      <c r="A67" s="41" t="s">
        <v>168</v>
      </c>
      <c r="B67" s="41" t="s">
        <v>169</v>
      </c>
      <c r="C67" s="42" t="e">
        <f t="shared" si="4"/>
        <v>#N/A</v>
      </c>
      <c r="D67" s="42" t="e">
        <f t="shared" si="5"/>
        <v>#N/A</v>
      </c>
    </row>
    <row r="68" spans="1:4" x14ac:dyDescent="0.3">
      <c r="A68" s="41" t="s">
        <v>170</v>
      </c>
      <c r="B68" s="41" t="s">
        <v>171</v>
      </c>
      <c r="C68" s="42" t="e">
        <f t="shared" si="4"/>
        <v>#N/A</v>
      </c>
      <c r="D68" s="42" t="e">
        <f t="shared" si="5"/>
        <v>#N/A</v>
      </c>
    </row>
    <row r="69" spans="1:4" x14ac:dyDescent="0.3">
      <c r="A69" s="41" t="s">
        <v>172</v>
      </c>
      <c r="B69" s="41" t="s">
        <v>173</v>
      </c>
      <c r="C69" s="42" t="e">
        <f t="shared" si="4"/>
        <v>#N/A</v>
      </c>
      <c r="D69" s="42" t="e">
        <f t="shared" si="5"/>
        <v>#N/A</v>
      </c>
    </row>
    <row r="70" spans="1:4" x14ac:dyDescent="0.3">
      <c r="A70" s="41" t="s">
        <v>174</v>
      </c>
      <c r="B70" s="41" t="s">
        <v>175</v>
      </c>
      <c r="C70" s="42" t="e">
        <f t="shared" si="4"/>
        <v>#N/A</v>
      </c>
      <c r="D70" s="42" t="e">
        <f t="shared" si="5"/>
        <v>#N/A</v>
      </c>
    </row>
    <row r="71" spans="1:4" x14ac:dyDescent="0.3">
      <c r="A71" s="41" t="s">
        <v>176</v>
      </c>
      <c r="B71" s="41" t="s">
        <v>177</v>
      </c>
      <c r="C71" s="42" t="e">
        <f t="shared" si="4"/>
        <v>#N/A</v>
      </c>
      <c r="D71" s="46" t="str">
        <f t="shared" si="5"/>
        <v>Marie-Claude Kamel</v>
      </c>
    </row>
    <row r="72" spans="1:4" x14ac:dyDescent="0.3">
      <c r="A72" s="41" t="s">
        <v>178</v>
      </c>
      <c r="B72" s="41" t="s">
        <v>179</v>
      </c>
      <c r="C72" s="42" t="e">
        <f t="shared" si="4"/>
        <v>#N/A</v>
      </c>
      <c r="D72" s="42" t="e">
        <f t="shared" si="5"/>
        <v>#N/A</v>
      </c>
    </row>
    <row r="73" spans="1:4" x14ac:dyDescent="0.3">
      <c r="A73" s="41" t="s">
        <v>180</v>
      </c>
      <c r="B73" s="41" t="s">
        <v>181</v>
      </c>
      <c r="C73" s="42" t="e">
        <f t="shared" si="4"/>
        <v>#N/A</v>
      </c>
      <c r="D73" s="42" t="e">
        <f t="shared" si="5"/>
        <v>#N/A</v>
      </c>
    </row>
    <row r="74" spans="1:4" x14ac:dyDescent="0.3">
      <c r="A74" s="41" t="s">
        <v>182</v>
      </c>
      <c r="B74" s="41" t="s">
        <v>176</v>
      </c>
      <c r="C74" s="46" t="str">
        <f t="shared" si="4"/>
        <v>Mohammed Shehadeh</v>
      </c>
      <c r="D74" s="42" t="e">
        <f t="shared" si="5"/>
        <v>#N/A</v>
      </c>
    </row>
    <row r="75" spans="1:4" x14ac:dyDescent="0.3">
      <c r="A75" s="41" t="s">
        <v>183</v>
      </c>
      <c r="B75" s="41" t="s">
        <v>184</v>
      </c>
      <c r="C75" s="42" t="e">
        <f t="shared" si="4"/>
        <v>#N/A</v>
      </c>
      <c r="D75" s="42" t="e">
        <f t="shared" si="5"/>
        <v>#N/A</v>
      </c>
    </row>
    <row r="76" spans="1:4" x14ac:dyDescent="0.3">
      <c r="A76" s="41" t="s">
        <v>185</v>
      </c>
      <c r="B76" s="41" t="s">
        <v>186</v>
      </c>
      <c r="C76" s="42" t="e">
        <f t="shared" si="4"/>
        <v>#N/A</v>
      </c>
      <c r="D76" s="42" t="e">
        <f t="shared" si="5"/>
        <v>#N/A</v>
      </c>
    </row>
    <row r="77" spans="1:4" x14ac:dyDescent="0.3">
      <c r="A77" s="41" t="s">
        <v>187</v>
      </c>
      <c r="B77" s="41" t="s">
        <v>188</v>
      </c>
      <c r="C77" s="42" t="e">
        <f t="shared" si="4"/>
        <v>#N/A</v>
      </c>
      <c r="D77" s="42" t="e">
        <f t="shared" si="5"/>
        <v>#N/A</v>
      </c>
    </row>
    <row r="78" spans="1:4" x14ac:dyDescent="0.3">
      <c r="A78" s="41" t="s">
        <v>189</v>
      </c>
      <c r="B78" s="41" t="s">
        <v>190</v>
      </c>
      <c r="C78" s="42" t="e">
        <f t="shared" si="4"/>
        <v>#N/A</v>
      </c>
      <c r="D78" s="42" t="e">
        <f t="shared" si="5"/>
        <v>#N/A</v>
      </c>
    </row>
    <row r="79" spans="1:4" x14ac:dyDescent="0.3">
      <c r="A79" s="41" t="s">
        <v>191</v>
      </c>
      <c r="B79" s="41" t="s">
        <v>192</v>
      </c>
      <c r="C79" s="42" t="e">
        <f t="shared" si="4"/>
        <v>#N/A</v>
      </c>
      <c r="D79" s="42" t="e">
        <f t="shared" si="5"/>
        <v>#N/A</v>
      </c>
    </row>
    <row r="80" spans="1:4" x14ac:dyDescent="0.3">
      <c r="A80" s="41" t="s">
        <v>193</v>
      </c>
      <c r="B80" s="41" t="s">
        <v>194</v>
      </c>
      <c r="C80" s="42" t="e">
        <f t="shared" si="4"/>
        <v>#N/A</v>
      </c>
      <c r="D80" s="42" t="e">
        <f t="shared" si="5"/>
        <v>#N/A</v>
      </c>
    </row>
    <row r="81" spans="1:4" x14ac:dyDescent="0.3">
      <c r="A81" s="41" t="s">
        <v>195</v>
      </c>
      <c r="B81" s="41" t="s">
        <v>196</v>
      </c>
      <c r="C81" s="42" t="e">
        <f t="shared" si="4"/>
        <v>#N/A</v>
      </c>
      <c r="D81" s="42" t="e">
        <f t="shared" si="5"/>
        <v>#N/A</v>
      </c>
    </row>
    <row r="82" spans="1:4" x14ac:dyDescent="0.3">
      <c r="A82" s="41" t="s">
        <v>197</v>
      </c>
      <c r="B82" s="41" t="s">
        <v>198</v>
      </c>
      <c r="C82" s="42" t="e">
        <f t="shared" si="4"/>
        <v>#N/A</v>
      </c>
      <c r="D82" s="42" t="e">
        <f t="shared" si="5"/>
        <v>#N/A</v>
      </c>
    </row>
    <row r="83" spans="1:4" x14ac:dyDescent="0.3">
      <c r="A83" s="41" t="s">
        <v>199</v>
      </c>
      <c r="B83" s="41" t="s">
        <v>200</v>
      </c>
      <c r="C83" s="46" t="str">
        <f t="shared" si="4"/>
        <v>Safia Khammar</v>
      </c>
      <c r="D83" s="42" t="e">
        <f t="shared" si="5"/>
        <v>#N/A</v>
      </c>
    </row>
    <row r="84" spans="1:4" x14ac:dyDescent="0.3">
      <c r="A84" s="41" t="s">
        <v>201</v>
      </c>
      <c r="B84" s="41" t="s">
        <v>202</v>
      </c>
      <c r="C84" s="42" t="e">
        <f t="shared" si="4"/>
        <v>#N/A</v>
      </c>
      <c r="D84" s="42" t="e">
        <f t="shared" si="5"/>
        <v>#N/A</v>
      </c>
    </row>
    <row r="85" spans="1:4" x14ac:dyDescent="0.3">
      <c r="A85" s="41" t="s">
        <v>203</v>
      </c>
      <c r="B85" s="41" t="s">
        <v>204</v>
      </c>
      <c r="C85" s="42" t="e">
        <f t="shared" si="4"/>
        <v>#N/A</v>
      </c>
      <c r="D85" s="42" t="e">
        <f t="shared" si="5"/>
        <v>#N/A</v>
      </c>
    </row>
    <row r="86" spans="1:4" x14ac:dyDescent="0.3">
      <c r="A86" s="41" t="s">
        <v>205</v>
      </c>
      <c r="B86" s="41" t="s">
        <v>206</v>
      </c>
      <c r="C86" s="42" t="e">
        <f t="shared" si="4"/>
        <v>#N/A</v>
      </c>
      <c r="D86" s="42" t="e">
        <f t="shared" si="5"/>
        <v>#N/A</v>
      </c>
    </row>
    <row r="87" spans="1:4" x14ac:dyDescent="0.3">
      <c r="A87" s="41" t="s">
        <v>200</v>
      </c>
      <c r="B87" s="41" t="s">
        <v>207</v>
      </c>
      <c r="C87" s="42" t="e">
        <f t="shared" si="4"/>
        <v>#N/A</v>
      </c>
      <c r="D87" s="46" t="str">
        <f t="shared" si="5"/>
        <v>Najwa Choueiri</v>
      </c>
    </row>
    <row r="88" spans="1:4" x14ac:dyDescent="0.3">
      <c r="A88" s="41" t="s">
        <v>208</v>
      </c>
      <c r="B88" s="41" t="s">
        <v>209</v>
      </c>
      <c r="C88" s="42" t="e">
        <f t="shared" si="4"/>
        <v>#N/A</v>
      </c>
      <c r="D88" s="42" t="e">
        <f t="shared" si="5"/>
        <v>#N/A</v>
      </c>
    </row>
    <row r="89" spans="1:4" x14ac:dyDescent="0.3">
      <c r="A89" s="41" t="s">
        <v>210</v>
      </c>
      <c r="B89" s="41" t="s">
        <v>211</v>
      </c>
      <c r="C89" s="42" t="e">
        <f t="shared" si="4"/>
        <v>#N/A</v>
      </c>
      <c r="D89" s="42" t="e">
        <f t="shared" si="5"/>
        <v>#N/A</v>
      </c>
    </row>
    <row r="90" spans="1:4" x14ac:dyDescent="0.3">
      <c r="A90" s="41" t="s">
        <v>212</v>
      </c>
      <c r="B90" s="41" t="s">
        <v>200</v>
      </c>
      <c r="C90" s="46" t="str">
        <f t="shared" si="4"/>
        <v>Safia Khammar</v>
      </c>
      <c r="D90" s="42" t="e">
        <f t="shared" si="5"/>
        <v>#N/A</v>
      </c>
    </row>
    <row r="91" spans="1:4" x14ac:dyDescent="0.3">
      <c r="A91" s="41" t="s">
        <v>213</v>
      </c>
      <c r="B91" s="41" t="s">
        <v>214</v>
      </c>
      <c r="C91" s="42" t="e">
        <f t="shared" si="4"/>
        <v>#N/A</v>
      </c>
      <c r="D91" s="42" t="e">
        <f t="shared" si="5"/>
        <v>#N/A</v>
      </c>
    </row>
    <row r="92" spans="1:4" x14ac:dyDescent="0.3">
      <c r="A92" s="41" t="s">
        <v>215</v>
      </c>
      <c r="B92" s="41" t="s">
        <v>216</v>
      </c>
      <c r="C92" s="42" t="e">
        <f t="shared" si="4"/>
        <v>#N/A</v>
      </c>
      <c r="D92" s="42" t="e">
        <f t="shared" si="5"/>
        <v>#N/A</v>
      </c>
    </row>
    <row r="93" spans="1:4" x14ac:dyDescent="0.3">
      <c r="A93" s="41" t="s">
        <v>217</v>
      </c>
      <c r="B93" s="41" t="s">
        <v>218</v>
      </c>
      <c r="C93" s="42" t="e">
        <f t="shared" si="4"/>
        <v>#N/A</v>
      </c>
      <c r="D93" s="42" t="e">
        <f t="shared" si="5"/>
        <v>#N/A</v>
      </c>
    </row>
    <row r="94" spans="1:4" x14ac:dyDescent="0.3">
      <c r="A94" s="41" t="s">
        <v>219</v>
      </c>
      <c r="B94" s="41" t="s">
        <v>220</v>
      </c>
      <c r="C94" s="42" t="e">
        <f t="shared" si="4"/>
        <v>#N/A</v>
      </c>
      <c r="D94" s="46" t="str">
        <f t="shared" si="5"/>
        <v>Emilie Haddad</v>
      </c>
    </row>
    <row r="95" spans="1:4" x14ac:dyDescent="0.3">
      <c r="A95" s="41" t="s">
        <v>221</v>
      </c>
      <c r="B95" s="41" t="s">
        <v>222</v>
      </c>
      <c r="C95" s="42" t="e">
        <f t="shared" si="4"/>
        <v>#N/A</v>
      </c>
      <c r="D95" s="42" t="e">
        <f t="shared" si="5"/>
        <v>#N/A</v>
      </c>
    </row>
    <row r="96" spans="1:4" x14ac:dyDescent="0.3">
      <c r="A96" s="41" t="s">
        <v>223</v>
      </c>
      <c r="B96" s="41" t="s">
        <v>224</v>
      </c>
      <c r="C96" s="42" t="e">
        <f t="shared" si="4"/>
        <v>#N/A</v>
      </c>
      <c r="D96" s="42" t="e">
        <f t="shared" si="5"/>
        <v>#N/A</v>
      </c>
    </row>
    <row r="97" spans="1:4" x14ac:dyDescent="0.3">
      <c r="A97" s="41" t="s">
        <v>225</v>
      </c>
      <c r="B97" s="41" t="s">
        <v>226</v>
      </c>
      <c r="C97" s="42" t="e">
        <f t="shared" si="4"/>
        <v>#N/A</v>
      </c>
      <c r="D97" s="42" t="e">
        <f t="shared" si="5"/>
        <v>#N/A</v>
      </c>
    </row>
    <row r="98" spans="1:4" x14ac:dyDescent="0.3">
      <c r="A98" s="41" t="s">
        <v>227</v>
      </c>
      <c r="B98" s="41" t="s">
        <v>228</v>
      </c>
      <c r="C98" s="42" t="e">
        <f t="shared" ref="C98:C129" si="6">INDEX(List2, MATCH(B98,List1,0),1)</f>
        <v>#N/A</v>
      </c>
      <c r="D98" s="42" t="e">
        <f t="shared" ref="D98:D129" si="7">INDEX(List2,MATCH(A98,List2,0),1)</f>
        <v>#N/A</v>
      </c>
    </row>
    <row r="99" spans="1:4" x14ac:dyDescent="0.3">
      <c r="A99" s="41" t="s">
        <v>229</v>
      </c>
      <c r="B99" s="41" t="s">
        <v>230</v>
      </c>
      <c r="C99" s="42" t="e">
        <f t="shared" si="6"/>
        <v>#N/A</v>
      </c>
      <c r="D99" s="42" t="e">
        <f t="shared" si="7"/>
        <v>#N/A</v>
      </c>
    </row>
    <row r="100" spans="1:4" x14ac:dyDescent="0.3">
      <c r="A100" s="41" t="s">
        <v>231</v>
      </c>
      <c r="B100" s="41" t="s">
        <v>232</v>
      </c>
      <c r="C100" s="42" t="e">
        <f t="shared" si="6"/>
        <v>#N/A</v>
      </c>
      <c r="D100" s="42" t="e">
        <f t="shared" si="7"/>
        <v>#N/A</v>
      </c>
    </row>
    <row r="101" spans="1:4" x14ac:dyDescent="0.3">
      <c r="A101" s="41" t="s">
        <v>233</v>
      </c>
      <c r="B101" s="41" t="s">
        <v>234</v>
      </c>
      <c r="C101" s="42" t="e">
        <f t="shared" si="6"/>
        <v>#N/A</v>
      </c>
      <c r="D101" s="42" t="e">
        <f t="shared" si="7"/>
        <v>#N/A</v>
      </c>
    </row>
    <row r="102" spans="1:4" x14ac:dyDescent="0.3">
      <c r="A102" s="41" t="s">
        <v>235</v>
      </c>
      <c r="B102" s="41" t="s">
        <v>236</v>
      </c>
      <c r="C102" s="42" t="e">
        <f t="shared" si="6"/>
        <v>#N/A</v>
      </c>
      <c r="D102" s="42" t="e">
        <f t="shared" si="7"/>
        <v>#N/A</v>
      </c>
    </row>
    <row r="103" spans="1:4" x14ac:dyDescent="0.3">
      <c r="A103" s="41" t="s">
        <v>237</v>
      </c>
      <c r="B103" s="41" t="s">
        <v>219</v>
      </c>
      <c r="C103" s="46" t="str">
        <f t="shared" si="6"/>
        <v>Hiba Cortas</v>
      </c>
      <c r="D103" s="42" t="e">
        <f t="shared" si="7"/>
        <v>#N/A</v>
      </c>
    </row>
    <row r="104" spans="1:4" x14ac:dyDescent="0.3">
      <c r="A104" s="41" t="s">
        <v>219</v>
      </c>
      <c r="B104" s="41" t="s">
        <v>238</v>
      </c>
      <c r="C104" s="42" t="e">
        <f t="shared" si="6"/>
        <v>#N/A</v>
      </c>
      <c r="D104" s="46" t="str">
        <f t="shared" si="7"/>
        <v>Emilie Haddad</v>
      </c>
    </row>
    <row r="105" spans="1:4" x14ac:dyDescent="0.3">
      <c r="A105" s="41" t="s">
        <v>239</v>
      </c>
      <c r="B105" s="41" t="s">
        <v>240</v>
      </c>
      <c r="C105" s="42" t="e">
        <f t="shared" si="6"/>
        <v>#N/A</v>
      </c>
      <c r="D105" s="42" t="e">
        <f t="shared" si="7"/>
        <v>#N/A</v>
      </c>
    </row>
    <row r="106" spans="1:4" x14ac:dyDescent="0.3">
      <c r="A106" s="41" t="s">
        <v>241</v>
      </c>
      <c r="B106" s="41" t="s">
        <v>242</v>
      </c>
      <c r="C106" s="42" t="e">
        <f t="shared" si="6"/>
        <v>#N/A</v>
      </c>
      <c r="D106" s="42" t="e">
        <f t="shared" si="7"/>
        <v>#N/A</v>
      </c>
    </row>
    <row r="107" spans="1:4" x14ac:dyDescent="0.3">
      <c r="A107" s="41" t="s">
        <v>243</v>
      </c>
      <c r="B107" s="41" t="s">
        <v>244</v>
      </c>
      <c r="C107" s="42" t="e">
        <f t="shared" si="6"/>
        <v>#N/A</v>
      </c>
      <c r="D107" s="42" t="e">
        <f t="shared" si="7"/>
        <v>#N/A</v>
      </c>
    </row>
    <row r="108" spans="1:4" x14ac:dyDescent="0.3">
      <c r="A108" s="41" t="s">
        <v>245</v>
      </c>
      <c r="B108" s="41" t="s">
        <v>246</v>
      </c>
      <c r="C108" s="42" t="e">
        <f t="shared" si="6"/>
        <v>#N/A</v>
      </c>
      <c r="D108" s="42" t="e">
        <f t="shared" si="7"/>
        <v>#N/A</v>
      </c>
    </row>
    <row r="109" spans="1:4" x14ac:dyDescent="0.3">
      <c r="A109" s="41" t="s">
        <v>247</v>
      </c>
      <c r="B109" s="41" t="s">
        <v>248</v>
      </c>
      <c r="C109" s="42" t="e">
        <f t="shared" si="6"/>
        <v>#N/A</v>
      </c>
      <c r="D109" s="42" t="e">
        <f t="shared" si="7"/>
        <v>#N/A</v>
      </c>
    </row>
    <row r="110" spans="1:4" x14ac:dyDescent="0.3">
      <c r="A110" s="41" t="s">
        <v>249</v>
      </c>
      <c r="B110" s="41" t="s">
        <v>250</v>
      </c>
      <c r="C110" s="42" t="e">
        <f t="shared" si="6"/>
        <v>#N/A</v>
      </c>
      <c r="D110" s="42" t="e">
        <f t="shared" si="7"/>
        <v>#N/A</v>
      </c>
    </row>
    <row r="111" spans="1:4" x14ac:dyDescent="0.3">
      <c r="A111" s="41" t="s">
        <v>251</v>
      </c>
      <c r="B111" s="41" t="s">
        <v>252</v>
      </c>
      <c r="C111" s="42" t="e">
        <f t="shared" si="6"/>
        <v>#N/A</v>
      </c>
      <c r="D111" s="42" t="e">
        <f t="shared" si="7"/>
        <v>#N/A</v>
      </c>
    </row>
    <row r="112" spans="1:4" x14ac:dyDescent="0.3">
      <c r="A112" s="41" t="s">
        <v>253</v>
      </c>
      <c r="B112" s="41" t="s">
        <v>254</v>
      </c>
      <c r="C112" s="42" t="e">
        <f t="shared" si="6"/>
        <v>#N/A</v>
      </c>
      <c r="D112" s="42" t="e">
        <f t="shared" si="7"/>
        <v>#N/A</v>
      </c>
    </row>
    <row r="113" spans="1:4" x14ac:dyDescent="0.3">
      <c r="A113" s="41" t="s">
        <v>255</v>
      </c>
      <c r="B113" s="41" t="s">
        <v>256</v>
      </c>
      <c r="C113" s="42" t="e">
        <f t="shared" si="6"/>
        <v>#N/A</v>
      </c>
      <c r="D113" s="42" t="e">
        <f t="shared" si="7"/>
        <v>#N/A</v>
      </c>
    </row>
    <row r="114" spans="1:4" x14ac:dyDescent="0.3">
      <c r="A114" s="41" t="s">
        <v>257</v>
      </c>
      <c r="B114" s="41" t="s">
        <v>258</v>
      </c>
      <c r="C114" s="42" t="e">
        <f t="shared" si="6"/>
        <v>#N/A</v>
      </c>
      <c r="D114" s="42" t="e">
        <f t="shared" si="7"/>
        <v>#N/A</v>
      </c>
    </row>
    <row r="115" spans="1:4" x14ac:dyDescent="0.3">
      <c r="A115" s="41" t="s">
        <v>259</v>
      </c>
      <c r="B115" s="41" t="s">
        <v>260</v>
      </c>
      <c r="C115" s="42" t="e">
        <f t="shared" si="6"/>
        <v>#N/A</v>
      </c>
      <c r="D115" s="42" t="e">
        <f t="shared" si="7"/>
        <v>#N/A</v>
      </c>
    </row>
    <row r="116" spans="1:4" x14ac:dyDescent="0.3">
      <c r="A116" s="41" t="s">
        <v>261</v>
      </c>
      <c r="B116" s="41" t="s">
        <v>262</v>
      </c>
      <c r="C116" s="42" t="e">
        <f t="shared" si="6"/>
        <v>#N/A</v>
      </c>
      <c r="D116" s="42" t="e">
        <f t="shared" si="7"/>
        <v>#N/A</v>
      </c>
    </row>
    <row r="117" spans="1:4" x14ac:dyDescent="0.3">
      <c r="A117" s="41" t="s">
        <v>263</v>
      </c>
      <c r="B117" s="41" t="s">
        <v>264</v>
      </c>
      <c r="C117" s="42" t="e">
        <f t="shared" si="6"/>
        <v>#N/A</v>
      </c>
      <c r="D117" s="42" t="e">
        <f t="shared" si="7"/>
        <v>#N/A</v>
      </c>
    </row>
    <row r="118" spans="1:4" x14ac:dyDescent="0.3">
      <c r="A118" s="41" t="s">
        <v>265</v>
      </c>
      <c r="B118" s="41" t="s">
        <v>266</v>
      </c>
      <c r="C118" s="42" t="e">
        <f t="shared" si="6"/>
        <v>#N/A</v>
      </c>
      <c r="D118" s="42" t="e">
        <f t="shared" si="7"/>
        <v>#N/A</v>
      </c>
    </row>
    <row r="119" spans="1:4" x14ac:dyDescent="0.3">
      <c r="A119" s="41" t="s">
        <v>267</v>
      </c>
      <c r="B119" s="41" t="s">
        <v>268</v>
      </c>
      <c r="C119" s="42" t="e">
        <f t="shared" si="6"/>
        <v>#N/A</v>
      </c>
      <c r="D119" s="42" t="e">
        <f t="shared" si="7"/>
        <v>#N/A</v>
      </c>
    </row>
    <row r="120" spans="1:4" x14ac:dyDescent="0.3">
      <c r="A120" s="41" t="s">
        <v>269</v>
      </c>
      <c r="B120" s="41" t="s">
        <v>270</v>
      </c>
      <c r="C120" s="42" t="e">
        <f t="shared" si="6"/>
        <v>#N/A</v>
      </c>
      <c r="D120" s="42" t="e">
        <f t="shared" si="7"/>
        <v>#N/A</v>
      </c>
    </row>
    <row r="121" spans="1:4" x14ac:dyDescent="0.3">
      <c r="A121" s="41" t="s">
        <v>271</v>
      </c>
      <c r="B121" s="41" t="s">
        <v>272</v>
      </c>
      <c r="C121" s="42" t="e">
        <f t="shared" si="6"/>
        <v>#N/A</v>
      </c>
      <c r="D121" s="42" t="e">
        <f t="shared" si="7"/>
        <v>#N/A</v>
      </c>
    </row>
    <row r="122" spans="1:4" x14ac:dyDescent="0.3">
      <c r="A122" s="41" t="s">
        <v>273</v>
      </c>
      <c r="B122" s="41" t="s">
        <v>274</v>
      </c>
      <c r="C122" s="42" t="e">
        <f t="shared" si="6"/>
        <v>#N/A</v>
      </c>
      <c r="D122" s="42" t="e">
        <f t="shared" si="7"/>
        <v>#N/A</v>
      </c>
    </row>
    <row r="123" spans="1:4" x14ac:dyDescent="0.3">
      <c r="A123" s="41" t="s">
        <v>275</v>
      </c>
      <c r="B123" s="41" t="s">
        <v>276</v>
      </c>
      <c r="C123" s="42" t="e">
        <f t="shared" si="6"/>
        <v>#N/A</v>
      </c>
      <c r="D123" s="42" t="e">
        <f t="shared" si="7"/>
        <v>#N/A</v>
      </c>
    </row>
    <row r="124" spans="1:4" x14ac:dyDescent="0.3">
      <c r="A124" s="41" t="s">
        <v>277</v>
      </c>
      <c r="B124" s="41" t="s">
        <v>278</v>
      </c>
      <c r="C124" s="42" t="e">
        <f t="shared" si="6"/>
        <v>#N/A</v>
      </c>
      <c r="D124" s="42" t="e">
        <f t="shared" si="7"/>
        <v>#N/A</v>
      </c>
    </row>
    <row r="125" spans="1:4" x14ac:dyDescent="0.3">
      <c r="A125" s="41" t="s">
        <v>279</v>
      </c>
      <c r="B125" s="41" t="s">
        <v>280</v>
      </c>
      <c r="C125" s="42" t="e">
        <f t="shared" si="6"/>
        <v>#N/A</v>
      </c>
      <c r="D125" s="42" t="e">
        <f t="shared" si="7"/>
        <v>#N/A</v>
      </c>
    </row>
    <row r="126" spans="1:4" x14ac:dyDescent="0.3">
      <c r="A126" s="41" t="s">
        <v>281</v>
      </c>
      <c r="B126" s="41" t="s">
        <v>282</v>
      </c>
      <c r="C126" s="42" t="e">
        <f t="shared" si="6"/>
        <v>#N/A</v>
      </c>
      <c r="D126" s="42" t="e">
        <f t="shared" si="7"/>
        <v>#N/A</v>
      </c>
    </row>
    <row r="127" spans="1:4" x14ac:dyDescent="0.3">
      <c r="A127" s="41" t="s">
        <v>283</v>
      </c>
      <c r="B127" s="41" t="s">
        <v>284</v>
      </c>
      <c r="C127" s="42" t="e">
        <f t="shared" si="6"/>
        <v>#N/A</v>
      </c>
      <c r="D127" s="42" t="e">
        <f t="shared" si="7"/>
        <v>#N/A</v>
      </c>
    </row>
    <row r="128" spans="1:4" x14ac:dyDescent="0.3">
      <c r="A128" s="41" t="s">
        <v>285</v>
      </c>
      <c r="B128" s="41" t="s">
        <v>286</v>
      </c>
      <c r="C128" s="42" t="e">
        <f t="shared" si="6"/>
        <v>#N/A</v>
      </c>
      <c r="D128" s="42" t="e">
        <f t="shared" si="7"/>
        <v>#N/A</v>
      </c>
    </row>
    <row r="129" spans="1:4" x14ac:dyDescent="0.3">
      <c r="A129" s="41" t="s">
        <v>287</v>
      </c>
      <c r="B129" s="41" t="s">
        <v>288</v>
      </c>
      <c r="C129" s="42" t="e">
        <f t="shared" si="6"/>
        <v>#N/A</v>
      </c>
      <c r="D129" s="42" t="e">
        <f t="shared" si="7"/>
        <v>#N/A</v>
      </c>
    </row>
    <row r="130" spans="1:4" x14ac:dyDescent="0.3">
      <c r="A130" s="41" t="s">
        <v>289</v>
      </c>
      <c r="B130" s="41" t="s">
        <v>290</v>
      </c>
      <c r="C130" s="42" t="e">
        <f t="shared" ref="C130:C161" si="8">INDEX(List2, MATCH(B130,List1,0),1)</f>
        <v>#N/A</v>
      </c>
      <c r="D130" s="42" t="e">
        <f t="shared" ref="D130:D161" si="9">INDEX(List2,MATCH(A130,List2,0),1)</f>
        <v>#N/A</v>
      </c>
    </row>
    <row r="131" spans="1:4" x14ac:dyDescent="0.3">
      <c r="A131" s="41" t="s">
        <v>291</v>
      </c>
      <c r="B131" s="41" t="s">
        <v>292</v>
      </c>
      <c r="C131" s="42" t="e">
        <f t="shared" si="8"/>
        <v>#N/A</v>
      </c>
      <c r="D131" s="42" t="e">
        <f t="shared" si="9"/>
        <v>#N/A</v>
      </c>
    </row>
    <row r="132" spans="1:4" x14ac:dyDescent="0.3">
      <c r="A132" s="41" t="s">
        <v>293</v>
      </c>
      <c r="B132" s="41" t="s">
        <v>294</v>
      </c>
      <c r="C132" s="42" t="e">
        <f t="shared" si="8"/>
        <v>#N/A</v>
      </c>
      <c r="D132" s="42" t="e">
        <f t="shared" si="9"/>
        <v>#N/A</v>
      </c>
    </row>
    <row r="133" spans="1:4" x14ac:dyDescent="0.3">
      <c r="A133" s="41" t="s">
        <v>295</v>
      </c>
      <c r="B133" s="41" t="s">
        <v>296</v>
      </c>
      <c r="C133" s="42" t="e">
        <f t="shared" si="8"/>
        <v>#N/A</v>
      </c>
      <c r="D133" s="42" t="e">
        <f t="shared" si="9"/>
        <v>#N/A</v>
      </c>
    </row>
    <row r="134" spans="1:4" x14ac:dyDescent="0.3">
      <c r="A134" s="41" t="s">
        <v>297</v>
      </c>
      <c r="B134" s="41" t="s">
        <v>298</v>
      </c>
      <c r="C134" s="42" t="e">
        <f t="shared" si="8"/>
        <v>#N/A</v>
      </c>
      <c r="D134" s="42" t="e">
        <f t="shared" si="9"/>
        <v>#N/A</v>
      </c>
    </row>
    <row r="135" spans="1:4" x14ac:dyDescent="0.3">
      <c r="A135" s="41" t="s">
        <v>299</v>
      </c>
      <c r="B135" s="41" t="s">
        <v>300</v>
      </c>
      <c r="C135" s="42" t="e">
        <f t="shared" si="8"/>
        <v>#N/A</v>
      </c>
      <c r="D135" s="42" t="e">
        <f t="shared" si="9"/>
        <v>#N/A</v>
      </c>
    </row>
    <row r="136" spans="1:4" x14ac:dyDescent="0.3">
      <c r="A136" s="41" t="s">
        <v>301</v>
      </c>
      <c r="B136" s="41" t="s">
        <v>302</v>
      </c>
      <c r="C136" s="42" t="e">
        <f t="shared" si="8"/>
        <v>#N/A</v>
      </c>
      <c r="D136" s="42" t="e">
        <f t="shared" si="9"/>
        <v>#N/A</v>
      </c>
    </row>
    <row r="137" spans="1:4" x14ac:dyDescent="0.3">
      <c r="A137" s="41" t="s">
        <v>303</v>
      </c>
      <c r="B137" s="41" t="s">
        <v>304</v>
      </c>
      <c r="C137" s="42" t="e">
        <f t="shared" si="8"/>
        <v>#N/A</v>
      </c>
      <c r="D137" s="42" t="e">
        <f t="shared" si="9"/>
        <v>#N/A</v>
      </c>
    </row>
    <row r="138" spans="1:4" x14ac:dyDescent="0.3">
      <c r="A138" s="41" t="s">
        <v>305</v>
      </c>
      <c r="B138" s="41" t="s">
        <v>306</v>
      </c>
      <c r="C138" s="42" t="e">
        <f t="shared" si="8"/>
        <v>#N/A</v>
      </c>
      <c r="D138" s="42" t="e">
        <f t="shared" si="9"/>
        <v>#N/A</v>
      </c>
    </row>
    <row r="139" spans="1:4" x14ac:dyDescent="0.3">
      <c r="A139" s="41" t="s">
        <v>307</v>
      </c>
      <c r="B139" s="41" t="s">
        <v>308</v>
      </c>
      <c r="C139" s="42" t="e">
        <f t="shared" si="8"/>
        <v>#N/A</v>
      </c>
      <c r="D139" s="42" t="e">
        <f t="shared" si="9"/>
        <v>#N/A</v>
      </c>
    </row>
    <row r="140" spans="1:4" x14ac:dyDescent="0.3">
      <c r="A140" s="41" t="s">
        <v>309</v>
      </c>
      <c r="B140" s="41" t="s">
        <v>310</v>
      </c>
      <c r="C140" s="42" t="e">
        <f t="shared" si="8"/>
        <v>#N/A</v>
      </c>
      <c r="D140" s="42" t="e">
        <f t="shared" si="9"/>
        <v>#N/A</v>
      </c>
    </row>
    <row r="141" spans="1:4" x14ac:dyDescent="0.3">
      <c r="A141" s="41" t="s">
        <v>311</v>
      </c>
      <c r="B141" s="41" t="s">
        <v>312</v>
      </c>
      <c r="C141" s="42" t="e">
        <f t="shared" si="8"/>
        <v>#N/A</v>
      </c>
      <c r="D141" s="42" t="e">
        <f t="shared" si="9"/>
        <v>#N/A</v>
      </c>
    </row>
    <row r="142" spans="1:4" x14ac:dyDescent="0.3">
      <c r="A142" s="41" t="s">
        <v>313</v>
      </c>
      <c r="B142" s="41" t="s">
        <v>314</v>
      </c>
      <c r="C142" s="42" t="e">
        <f t="shared" si="8"/>
        <v>#N/A</v>
      </c>
      <c r="D142" s="42" t="e">
        <f t="shared" si="9"/>
        <v>#N/A</v>
      </c>
    </row>
    <row r="143" spans="1:4" x14ac:dyDescent="0.3">
      <c r="A143" s="41" t="s">
        <v>315</v>
      </c>
      <c r="B143" s="41" t="s">
        <v>316</v>
      </c>
      <c r="C143" s="42" t="e">
        <f t="shared" si="8"/>
        <v>#N/A</v>
      </c>
      <c r="D143" s="42" t="e">
        <f t="shared" si="9"/>
        <v>#N/A</v>
      </c>
    </row>
    <row r="144" spans="1:4" x14ac:dyDescent="0.3">
      <c r="A144" s="41" t="s">
        <v>317</v>
      </c>
      <c r="B144" s="41" t="s">
        <v>318</v>
      </c>
      <c r="C144" s="42" t="e">
        <f t="shared" si="8"/>
        <v>#N/A</v>
      </c>
      <c r="D144" s="42" t="e">
        <f t="shared" si="9"/>
        <v>#N/A</v>
      </c>
    </row>
    <row r="145" spans="1:4" x14ac:dyDescent="0.3">
      <c r="A145" s="41" t="s">
        <v>319</v>
      </c>
      <c r="B145" s="41" t="s">
        <v>320</v>
      </c>
      <c r="C145" s="42" t="e">
        <f t="shared" si="8"/>
        <v>#N/A</v>
      </c>
      <c r="D145" s="42" t="e">
        <f t="shared" si="9"/>
        <v>#N/A</v>
      </c>
    </row>
    <row r="146" spans="1:4" x14ac:dyDescent="0.3">
      <c r="A146" s="41" t="s">
        <v>321</v>
      </c>
      <c r="B146" s="41" t="s">
        <v>322</v>
      </c>
      <c r="C146" s="42" t="e">
        <f t="shared" si="8"/>
        <v>#N/A</v>
      </c>
      <c r="D146" s="42" t="e">
        <f t="shared" si="9"/>
        <v>#N/A</v>
      </c>
    </row>
    <row r="147" spans="1:4" x14ac:dyDescent="0.3">
      <c r="A147" s="41" t="s">
        <v>323</v>
      </c>
      <c r="B147" s="41" t="s">
        <v>324</v>
      </c>
      <c r="C147" s="42" t="e">
        <f t="shared" si="8"/>
        <v>#N/A</v>
      </c>
      <c r="D147" s="42" t="e">
        <f t="shared" si="9"/>
        <v>#N/A</v>
      </c>
    </row>
    <row r="148" spans="1:4" x14ac:dyDescent="0.3">
      <c r="A148" s="41" t="s">
        <v>325</v>
      </c>
      <c r="B148" s="41" t="s">
        <v>326</v>
      </c>
      <c r="C148" s="42" t="e">
        <f t="shared" si="8"/>
        <v>#N/A</v>
      </c>
      <c r="D148" s="42" t="e">
        <f t="shared" si="9"/>
        <v>#N/A</v>
      </c>
    </row>
    <row r="149" spans="1:4" x14ac:dyDescent="0.3">
      <c r="A149" s="41" t="s">
        <v>327</v>
      </c>
      <c r="B149" s="41" t="s">
        <v>328</v>
      </c>
      <c r="C149" s="42" t="e">
        <f t="shared" si="8"/>
        <v>#N/A</v>
      </c>
      <c r="D149" s="42" t="e">
        <f t="shared" si="9"/>
        <v>#N/A</v>
      </c>
    </row>
    <row r="150" spans="1:4" x14ac:dyDescent="0.3">
      <c r="A150" s="41" t="s">
        <v>329</v>
      </c>
      <c r="B150" s="41" t="s">
        <v>330</v>
      </c>
      <c r="C150" s="42" t="e">
        <f t="shared" si="8"/>
        <v>#N/A</v>
      </c>
      <c r="D150" s="42" t="e">
        <f t="shared" si="9"/>
        <v>#N/A</v>
      </c>
    </row>
    <row r="151" spans="1:4" x14ac:dyDescent="0.3">
      <c r="A151" s="41" t="s">
        <v>331</v>
      </c>
      <c r="B151" s="41" t="s">
        <v>332</v>
      </c>
      <c r="C151" s="42" t="e">
        <f t="shared" si="8"/>
        <v>#N/A</v>
      </c>
      <c r="D151" s="42" t="e">
        <f t="shared" si="9"/>
        <v>#N/A</v>
      </c>
    </row>
    <row r="152" spans="1:4" x14ac:dyDescent="0.3">
      <c r="A152" s="41" t="s">
        <v>333</v>
      </c>
      <c r="B152" s="41" t="s">
        <v>334</v>
      </c>
      <c r="C152" s="42" t="e">
        <f t="shared" si="8"/>
        <v>#N/A</v>
      </c>
      <c r="D152" s="42" t="e">
        <f t="shared" si="9"/>
        <v>#N/A</v>
      </c>
    </row>
    <row r="153" spans="1:4" x14ac:dyDescent="0.3">
      <c r="A153" s="41" t="s">
        <v>335</v>
      </c>
      <c r="B153" s="41" t="s">
        <v>336</v>
      </c>
      <c r="C153" s="42" t="e">
        <f t="shared" si="8"/>
        <v>#N/A</v>
      </c>
      <c r="D153" s="42" t="e">
        <f t="shared" si="9"/>
        <v>#N/A</v>
      </c>
    </row>
    <row r="154" spans="1:4" x14ac:dyDescent="0.3">
      <c r="A154" s="41" t="s">
        <v>337</v>
      </c>
      <c r="B154" s="41" t="s">
        <v>338</v>
      </c>
      <c r="C154" s="42" t="e">
        <f t="shared" si="8"/>
        <v>#N/A</v>
      </c>
      <c r="D154" s="42" t="e">
        <f t="shared" si="9"/>
        <v>#N/A</v>
      </c>
    </row>
    <row r="155" spans="1:4" x14ac:dyDescent="0.3">
      <c r="A155" s="41" t="s">
        <v>339</v>
      </c>
      <c r="B155" s="41" t="s">
        <v>340</v>
      </c>
      <c r="C155" s="42" t="e">
        <f t="shared" si="8"/>
        <v>#N/A</v>
      </c>
      <c r="D155" s="42" t="e">
        <f t="shared" si="9"/>
        <v>#N/A</v>
      </c>
    </row>
    <row r="156" spans="1:4" x14ac:dyDescent="0.3">
      <c r="A156" s="41" t="s">
        <v>341</v>
      </c>
      <c r="B156" s="41" t="s">
        <v>342</v>
      </c>
      <c r="C156" s="42" t="e">
        <f t="shared" si="8"/>
        <v>#N/A</v>
      </c>
      <c r="D156" s="42" t="e">
        <f t="shared" si="9"/>
        <v>#N/A</v>
      </c>
    </row>
    <row r="157" spans="1:4" x14ac:dyDescent="0.3">
      <c r="A157" s="41" t="s">
        <v>343</v>
      </c>
      <c r="B157" s="41" t="s">
        <v>344</v>
      </c>
      <c r="C157" s="42" t="e">
        <f t="shared" si="8"/>
        <v>#N/A</v>
      </c>
      <c r="D157" s="42" t="e">
        <f t="shared" si="9"/>
        <v>#N/A</v>
      </c>
    </row>
    <row r="158" spans="1:4" x14ac:dyDescent="0.3">
      <c r="A158" s="41" t="s">
        <v>345</v>
      </c>
      <c r="B158" s="41" t="s">
        <v>346</v>
      </c>
      <c r="C158" s="42" t="e">
        <f t="shared" si="8"/>
        <v>#N/A</v>
      </c>
      <c r="D158" s="42" t="e">
        <f t="shared" si="9"/>
        <v>#N/A</v>
      </c>
    </row>
    <row r="159" spans="1:4" x14ac:dyDescent="0.3">
      <c r="A159" s="41" t="s">
        <v>347</v>
      </c>
      <c r="B159" s="41" t="s">
        <v>348</v>
      </c>
      <c r="C159" s="42" t="e">
        <f t="shared" si="8"/>
        <v>#N/A</v>
      </c>
      <c r="D159" s="42" t="e">
        <f t="shared" si="9"/>
        <v>#N/A</v>
      </c>
    </row>
    <row r="160" spans="1:4" x14ac:dyDescent="0.3">
      <c r="A160" s="41" t="s">
        <v>349</v>
      </c>
      <c r="B160" s="41" t="s">
        <v>350</v>
      </c>
      <c r="C160" s="42" t="e">
        <f t="shared" si="8"/>
        <v>#N/A</v>
      </c>
      <c r="D160" s="42" t="e">
        <f t="shared" si="9"/>
        <v>#N/A</v>
      </c>
    </row>
    <row r="161" spans="1:4" x14ac:dyDescent="0.3">
      <c r="A161" s="41" t="s">
        <v>351</v>
      </c>
      <c r="B161" s="41" t="s">
        <v>352</v>
      </c>
      <c r="C161" s="42" t="e">
        <f t="shared" si="8"/>
        <v>#N/A</v>
      </c>
      <c r="D161" s="42" t="e">
        <f t="shared" si="9"/>
        <v>#N/A</v>
      </c>
    </row>
    <row r="162" spans="1:4" x14ac:dyDescent="0.3">
      <c r="A162" s="41" t="s">
        <v>353</v>
      </c>
      <c r="B162" s="41" t="s">
        <v>354</v>
      </c>
      <c r="C162" s="42" t="e">
        <f t="shared" ref="C162:C191" si="10">INDEX(List2, MATCH(B162,List1,0),1)</f>
        <v>#N/A</v>
      </c>
      <c r="D162" s="42" t="e">
        <f t="shared" ref="D162:D193" si="11">INDEX(List2,MATCH(A162,List2,0),1)</f>
        <v>#N/A</v>
      </c>
    </row>
    <row r="163" spans="1:4" x14ac:dyDescent="0.3">
      <c r="A163" s="41" t="s">
        <v>355</v>
      </c>
      <c r="B163" s="41" t="s">
        <v>356</v>
      </c>
      <c r="C163" s="42" t="e">
        <f t="shared" si="10"/>
        <v>#N/A</v>
      </c>
      <c r="D163" s="42" t="e">
        <f t="shared" si="11"/>
        <v>#N/A</v>
      </c>
    </row>
    <row r="164" spans="1:4" x14ac:dyDescent="0.3">
      <c r="A164" s="41" t="s">
        <v>357</v>
      </c>
      <c r="B164" s="41" t="s">
        <v>358</v>
      </c>
      <c r="C164" s="42" t="e">
        <f t="shared" si="10"/>
        <v>#N/A</v>
      </c>
      <c r="D164" s="42" t="e">
        <f t="shared" si="11"/>
        <v>#N/A</v>
      </c>
    </row>
    <row r="165" spans="1:4" x14ac:dyDescent="0.3">
      <c r="A165" s="41" t="s">
        <v>359</v>
      </c>
      <c r="B165" s="41" t="s">
        <v>360</v>
      </c>
      <c r="C165" s="42" t="e">
        <f t="shared" si="10"/>
        <v>#N/A</v>
      </c>
      <c r="D165" s="42" t="e">
        <f t="shared" si="11"/>
        <v>#N/A</v>
      </c>
    </row>
    <row r="166" spans="1:4" x14ac:dyDescent="0.3">
      <c r="A166" s="41" t="s">
        <v>361</v>
      </c>
      <c r="B166" s="41" t="s">
        <v>362</v>
      </c>
      <c r="C166" s="42" t="e">
        <f t="shared" si="10"/>
        <v>#N/A</v>
      </c>
      <c r="D166" s="42" t="e">
        <f t="shared" si="11"/>
        <v>#N/A</v>
      </c>
    </row>
    <row r="167" spans="1:4" x14ac:dyDescent="0.3">
      <c r="A167" s="41" t="s">
        <v>363</v>
      </c>
      <c r="B167" s="41" t="s">
        <v>364</v>
      </c>
      <c r="C167" s="42" t="e">
        <f t="shared" si="10"/>
        <v>#N/A</v>
      </c>
      <c r="D167" s="42" t="e">
        <f t="shared" si="11"/>
        <v>#N/A</v>
      </c>
    </row>
    <row r="168" spans="1:4" x14ac:dyDescent="0.3">
      <c r="A168" s="41" t="s">
        <v>365</v>
      </c>
      <c r="B168" s="41" t="s">
        <v>366</v>
      </c>
      <c r="C168" s="42" t="e">
        <f t="shared" si="10"/>
        <v>#N/A</v>
      </c>
      <c r="D168" s="42" t="e">
        <f t="shared" si="11"/>
        <v>#N/A</v>
      </c>
    </row>
    <row r="169" spans="1:4" x14ac:dyDescent="0.3">
      <c r="A169" s="41" t="s">
        <v>367</v>
      </c>
      <c r="B169" s="41" t="s">
        <v>368</v>
      </c>
      <c r="C169" s="42" t="e">
        <f t="shared" si="10"/>
        <v>#N/A</v>
      </c>
      <c r="D169" s="42" t="e">
        <f t="shared" si="11"/>
        <v>#N/A</v>
      </c>
    </row>
    <row r="170" spans="1:4" x14ac:dyDescent="0.3">
      <c r="A170" s="41" t="s">
        <v>369</v>
      </c>
      <c r="B170" s="41" t="s">
        <v>370</v>
      </c>
      <c r="C170" s="42" t="e">
        <f t="shared" si="10"/>
        <v>#N/A</v>
      </c>
      <c r="D170" s="42" t="e">
        <f t="shared" si="11"/>
        <v>#N/A</v>
      </c>
    </row>
    <row r="171" spans="1:4" x14ac:dyDescent="0.3">
      <c r="A171" s="41" t="s">
        <v>371</v>
      </c>
      <c r="B171" s="41" t="s">
        <v>372</v>
      </c>
      <c r="C171" s="42" t="e">
        <f t="shared" si="10"/>
        <v>#N/A</v>
      </c>
      <c r="D171" s="42" t="e">
        <f t="shared" si="11"/>
        <v>#N/A</v>
      </c>
    </row>
    <row r="172" spans="1:4" x14ac:dyDescent="0.3">
      <c r="A172" s="41" t="s">
        <v>373</v>
      </c>
      <c r="B172" s="41" t="s">
        <v>374</v>
      </c>
      <c r="C172" s="42" t="e">
        <f t="shared" si="10"/>
        <v>#N/A</v>
      </c>
      <c r="D172" s="42" t="e">
        <f t="shared" si="11"/>
        <v>#N/A</v>
      </c>
    </row>
    <row r="173" spans="1:4" x14ac:dyDescent="0.3">
      <c r="A173" s="41" t="s">
        <v>375</v>
      </c>
      <c r="B173" s="41" t="s">
        <v>376</v>
      </c>
      <c r="C173" s="42" t="e">
        <f t="shared" si="10"/>
        <v>#N/A</v>
      </c>
      <c r="D173" s="42" t="e">
        <f t="shared" si="11"/>
        <v>#N/A</v>
      </c>
    </row>
    <row r="174" spans="1:4" x14ac:dyDescent="0.3">
      <c r="A174" s="41" t="s">
        <v>377</v>
      </c>
      <c r="B174" s="41" t="s">
        <v>378</v>
      </c>
      <c r="C174" s="42" t="e">
        <f t="shared" si="10"/>
        <v>#N/A</v>
      </c>
      <c r="D174" s="42" t="e">
        <f t="shared" si="11"/>
        <v>#N/A</v>
      </c>
    </row>
    <row r="175" spans="1:4" x14ac:dyDescent="0.3">
      <c r="A175" s="41" t="s">
        <v>379</v>
      </c>
      <c r="B175" s="41" t="s">
        <v>380</v>
      </c>
      <c r="C175" s="42" t="e">
        <f t="shared" si="10"/>
        <v>#N/A</v>
      </c>
      <c r="D175" s="42" t="e">
        <f t="shared" si="11"/>
        <v>#N/A</v>
      </c>
    </row>
    <row r="176" spans="1:4" x14ac:dyDescent="0.3">
      <c r="A176" s="41" t="s">
        <v>381</v>
      </c>
      <c r="B176" s="41" t="s">
        <v>382</v>
      </c>
      <c r="C176" s="42" t="e">
        <f t="shared" si="10"/>
        <v>#N/A</v>
      </c>
      <c r="D176" s="42" t="e">
        <f t="shared" si="11"/>
        <v>#N/A</v>
      </c>
    </row>
    <row r="177" spans="1:4" x14ac:dyDescent="0.3">
      <c r="A177" s="41" t="s">
        <v>383</v>
      </c>
      <c r="B177" s="41" t="s">
        <v>384</v>
      </c>
      <c r="C177" s="42" t="e">
        <f t="shared" si="10"/>
        <v>#N/A</v>
      </c>
      <c r="D177" s="42" t="e">
        <f t="shared" si="11"/>
        <v>#N/A</v>
      </c>
    </row>
    <row r="178" spans="1:4" x14ac:dyDescent="0.3">
      <c r="A178" s="41" t="s">
        <v>385</v>
      </c>
      <c r="B178" s="41" t="s">
        <v>386</v>
      </c>
      <c r="C178" s="42" t="e">
        <f t="shared" si="10"/>
        <v>#N/A</v>
      </c>
      <c r="D178" s="42" t="e">
        <f t="shared" si="11"/>
        <v>#N/A</v>
      </c>
    </row>
    <row r="179" spans="1:4" x14ac:dyDescent="0.3">
      <c r="A179" s="41" t="s">
        <v>387</v>
      </c>
      <c r="B179" s="41" t="s">
        <v>388</v>
      </c>
      <c r="C179" s="42" t="e">
        <f t="shared" si="10"/>
        <v>#N/A</v>
      </c>
      <c r="D179" s="42" t="e">
        <f t="shared" si="11"/>
        <v>#N/A</v>
      </c>
    </row>
    <row r="180" spans="1:4" x14ac:dyDescent="0.3">
      <c r="A180" s="41" t="s">
        <v>389</v>
      </c>
      <c r="B180" s="41" t="s">
        <v>53</v>
      </c>
      <c r="C180" s="42" t="e">
        <f t="shared" si="10"/>
        <v>#N/A</v>
      </c>
      <c r="D180" s="42" t="e">
        <f t="shared" si="11"/>
        <v>#N/A</v>
      </c>
    </row>
    <row r="181" spans="1:4" x14ac:dyDescent="0.3">
      <c r="A181" s="41" t="s">
        <v>390</v>
      </c>
      <c r="B181" s="41" t="s">
        <v>391</v>
      </c>
      <c r="C181" s="42" t="e">
        <f t="shared" si="10"/>
        <v>#N/A</v>
      </c>
      <c r="D181" s="42" t="e">
        <f t="shared" si="11"/>
        <v>#N/A</v>
      </c>
    </row>
    <row r="182" spans="1:4" x14ac:dyDescent="0.3">
      <c r="A182" s="41" t="s">
        <v>392</v>
      </c>
      <c r="B182" s="41" t="s">
        <v>393</v>
      </c>
      <c r="C182" s="42" t="e">
        <f t="shared" si="10"/>
        <v>#N/A</v>
      </c>
      <c r="D182" s="42" t="e">
        <f t="shared" si="11"/>
        <v>#N/A</v>
      </c>
    </row>
    <row r="183" spans="1:4" x14ac:dyDescent="0.3">
      <c r="A183" s="41" t="s">
        <v>394</v>
      </c>
      <c r="B183" s="41" t="s">
        <v>395</v>
      </c>
      <c r="C183" s="42" t="e">
        <f t="shared" si="10"/>
        <v>#N/A</v>
      </c>
      <c r="D183" s="42" t="e">
        <f t="shared" si="11"/>
        <v>#N/A</v>
      </c>
    </row>
    <row r="184" spans="1:4" x14ac:dyDescent="0.3">
      <c r="A184" s="41" t="s">
        <v>396</v>
      </c>
      <c r="B184" s="41" t="s">
        <v>397</v>
      </c>
      <c r="C184" s="42" t="e">
        <f t="shared" si="10"/>
        <v>#N/A</v>
      </c>
      <c r="D184" s="42" t="e">
        <f t="shared" si="11"/>
        <v>#N/A</v>
      </c>
    </row>
    <row r="185" spans="1:4" x14ac:dyDescent="0.3">
      <c r="A185" s="41" t="s">
        <v>398</v>
      </c>
      <c r="B185" s="41" t="s">
        <v>399</v>
      </c>
      <c r="C185" s="42" t="e">
        <f t="shared" si="10"/>
        <v>#N/A</v>
      </c>
      <c r="D185" s="42" t="e">
        <f t="shared" si="11"/>
        <v>#N/A</v>
      </c>
    </row>
    <row r="186" spans="1:4" x14ac:dyDescent="0.3">
      <c r="A186" s="41" t="s">
        <v>400</v>
      </c>
      <c r="B186" s="41" t="s">
        <v>401</v>
      </c>
      <c r="C186" s="42" t="e">
        <f t="shared" si="10"/>
        <v>#N/A</v>
      </c>
      <c r="D186" s="42" t="e">
        <f t="shared" si="11"/>
        <v>#N/A</v>
      </c>
    </row>
    <row r="187" spans="1:4" x14ac:dyDescent="0.3">
      <c r="A187" s="41" t="s">
        <v>402</v>
      </c>
      <c r="B187" s="41" t="s">
        <v>403</v>
      </c>
      <c r="C187" s="42" t="e">
        <f t="shared" si="10"/>
        <v>#N/A</v>
      </c>
      <c r="D187" s="42" t="e">
        <f t="shared" si="11"/>
        <v>#N/A</v>
      </c>
    </row>
    <row r="188" spans="1:4" x14ac:dyDescent="0.3">
      <c r="A188" s="41" t="s">
        <v>404</v>
      </c>
      <c r="B188" s="41" t="s">
        <v>405</v>
      </c>
      <c r="C188" s="42" t="e">
        <f t="shared" si="10"/>
        <v>#N/A</v>
      </c>
      <c r="D188" s="42" t="e">
        <f t="shared" si="11"/>
        <v>#N/A</v>
      </c>
    </row>
    <row r="189" spans="1:4" x14ac:dyDescent="0.3">
      <c r="A189" s="41" t="s">
        <v>406</v>
      </c>
      <c r="B189" s="41" t="s">
        <v>407</v>
      </c>
      <c r="C189" s="42" t="e">
        <f t="shared" si="10"/>
        <v>#N/A</v>
      </c>
      <c r="D189" s="42" t="e">
        <f t="shared" si="11"/>
        <v>#N/A</v>
      </c>
    </row>
    <row r="190" spans="1:4" x14ac:dyDescent="0.3">
      <c r="A190" s="41" t="s">
        <v>408</v>
      </c>
      <c r="B190" s="41" t="s">
        <v>409</v>
      </c>
      <c r="C190" s="42" t="e">
        <f t="shared" si="10"/>
        <v>#N/A</v>
      </c>
      <c r="D190" s="42" t="e">
        <f t="shared" si="11"/>
        <v>#N/A</v>
      </c>
    </row>
    <row r="191" spans="1:4" x14ac:dyDescent="0.3">
      <c r="A191" s="41" t="s">
        <v>410</v>
      </c>
      <c r="B191" s="41" t="s">
        <v>411</v>
      </c>
      <c r="C191" s="42" t="e">
        <f t="shared" si="10"/>
        <v>#N/A</v>
      </c>
      <c r="D191" s="42" t="e">
        <f t="shared" si="11"/>
        <v>#N/A</v>
      </c>
    </row>
    <row r="192" spans="1:4" x14ac:dyDescent="0.3">
      <c r="A192" s="41" t="s">
        <v>412</v>
      </c>
      <c r="B192" s="43"/>
      <c r="C192" s="44"/>
      <c r="D192" s="42" t="e">
        <f t="shared" si="11"/>
        <v>#N/A</v>
      </c>
    </row>
    <row r="193" spans="1:4" x14ac:dyDescent="0.3">
      <c r="A193" s="41" t="s">
        <v>413</v>
      </c>
      <c r="B193" s="43"/>
      <c r="C193" s="44"/>
      <c r="D193" s="42" t="e">
        <f t="shared" si="11"/>
        <v>#N/A</v>
      </c>
    </row>
    <row r="194" spans="1:4" x14ac:dyDescent="0.3">
      <c r="A194" s="41" t="s">
        <v>414</v>
      </c>
      <c r="B194" s="43"/>
      <c r="C194" s="44"/>
      <c r="D194" s="42" t="e">
        <f t="shared" ref="D194:D201" si="12">INDEX(List2,MATCH(A194,List2,0),1)</f>
        <v>#N/A</v>
      </c>
    </row>
    <row r="195" spans="1:4" x14ac:dyDescent="0.3">
      <c r="A195" s="41" t="s">
        <v>415</v>
      </c>
      <c r="B195" s="43"/>
      <c r="C195" s="44"/>
      <c r="D195" s="42" t="e">
        <f t="shared" si="12"/>
        <v>#N/A</v>
      </c>
    </row>
    <row r="196" spans="1:4" x14ac:dyDescent="0.3">
      <c r="A196" s="41" t="s">
        <v>416</v>
      </c>
      <c r="B196" s="43"/>
      <c r="C196" s="44"/>
      <c r="D196" s="42" t="e">
        <f t="shared" si="12"/>
        <v>#N/A</v>
      </c>
    </row>
    <row r="197" spans="1:4" x14ac:dyDescent="0.3">
      <c r="A197" s="41" t="s">
        <v>417</v>
      </c>
      <c r="B197" s="43"/>
      <c r="C197" s="44"/>
      <c r="D197" s="42" t="e">
        <f t="shared" si="12"/>
        <v>#N/A</v>
      </c>
    </row>
    <row r="198" spans="1:4" x14ac:dyDescent="0.3">
      <c r="A198" s="41" t="s">
        <v>418</v>
      </c>
      <c r="B198" s="43"/>
      <c r="C198" s="44"/>
      <c r="D198" s="42" t="e">
        <f t="shared" si="12"/>
        <v>#N/A</v>
      </c>
    </row>
    <row r="199" spans="1:4" x14ac:dyDescent="0.3">
      <c r="A199" s="41" t="s">
        <v>419</v>
      </c>
      <c r="B199" s="43"/>
      <c r="C199" s="44"/>
      <c r="D199" s="42" t="e">
        <f t="shared" si="12"/>
        <v>#N/A</v>
      </c>
    </row>
    <row r="200" spans="1:4" x14ac:dyDescent="0.3">
      <c r="A200" s="41" t="s">
        <v>420</v>
      </c>
      <c r="B200" s="43"/>
      <c r="C200" s="44"/>
      <c r="D200" s="42" t="e">
        <f t="shared" si="12"/>
        <v>#N/A</v>
      </c>
    </row>
    <row r="201" spans="1:4" x14ac:dyDescent="0.3">
      <c r="A201" s="41" t="s">
        <v>421</v>
      </c>
      <c r="B201" s="43"/>
      <c r="C201" s="44"/>
      <c r="D201" s="42" t="e">
        <f t="shared" si="12"/>
        <v>#N/A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Intro</vt:lpstr>
      <vt:lpstr>MATCH</vt:lpstr>
      <vt:lpstr>INDEX1</vt:lpstr>
      <vt:lpstr>INDEX2</vt:lpstr>
      <vt:lpstr>INDEX3</vt:lpstr>
      <vt:lpstr>INDEX4</vt:lpstr>
      <vt:lpstr>INDEX5</vt:lpstr>
      <vt:lpstr>Intro!_GoBack</vt:lpstr>
      <vt:lpstr>BeirutOutside</vt:lpstr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Akram Najjar</cp:lastModifiedBy>
  <dcterms:created xsi:type="dcterms:W3CDTF">2015-06-05T18:17:20Z</dcterms:created>
  <dcterms:modified xsi:type="dcterms:W3CDTF">2024-06-06T17:06:32Z</dcterms:modified>
</cp:coreProperties>
</file>