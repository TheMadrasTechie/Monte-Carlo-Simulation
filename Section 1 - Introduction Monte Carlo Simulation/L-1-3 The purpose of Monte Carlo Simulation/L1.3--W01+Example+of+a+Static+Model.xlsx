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codeName="ThisWorkbook"/>
  <mc:AlternateContent xmlns:mc="http://schemas.openxmlformats.org/markup-compatibility/2006">
    <mc:Choice Requires="x15">
      <x15ac:absPath xmlns:x15ac="http://schemas.microsoft.com/office/spreadsheetml/2010/11/ac" url="C:\13. Statistical Workshops\Monte Carlo Simulation\1.3 The Purpose of Monte Carlo Simulation (MCS)\Resources\"/>
    </mc:Choice>
  </mc:AlternateContent>
  <xr:revisionPtr revIDLastSave="0" documentId="13_ncr:1_{58CB856D-5601-4178-9B7A-C21A79407D39}" xr6:coauthVersionLast="47" xr6:coauthVersionMax="47" xr10:uidLastSave="{00000000-0000-0000-0000-000000000000}"/>
  <bookViews>
    <workbookView xWindow="1050" yWindow="-120" windowWidth="20040" windowHeight="13740" xr2:uid="{00000000-000D-0000-FFFF-FFFF00000000}"/>
  </bookViews>
  <sheets>
    <sheet name="Intro  (2)" sheetId="10" r:id="rId1"/>
    <sheet name="Net Profit Fixed Estimates" sheetId="7" r:id="rId2"/>
    <sheet name="Net Profit using N Estimates" sheetId="9" r:id="rId3"/>
  </sheets>
  <definedNames>
    <definedName name="anscount" hidden="1">1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9" l="1"/>
  <c r="B5" i="9"/>
  <c r="B8" i="9" s="1"/>
  <c r="B10" i="7"/>
  <c r="C10" i="7"/>
  <c r="C12" i="7"/>
  <c r="C5" i="9"/>
  <c r="C10" i="9"/>
  <c r="C8" i="7"/>
  <c r="C11" i="7"/>
  <c r="C11" i="9"/>
  <c r="C8" i="9"/>
  <c r="C12" i="9"/>
  <c r="C5" i="7"/>
  <c r="B11" i="9" l="1"/>
  <c r="B12" i="9" s="1"/>
  <c r="B5" i="7"/>
  <c r="B8" i="7" l="1"/>
  <c r="B11" i="7" s="1"/>
  <c r="B12" i="7" s="1"/>
</calcChain>
</file>

<file path=xl/sharedStrings.xml><?xml version="1.0" encoding="utf-8"?>
<sst xmlns="http://schemas.openxmlformats.org/spreadsheetml/2006/main" count="34" uniqueCount="26">
  <si>
    <t>Materials</t>
  </si>
  <si>
    <t>Equipment Rental</t>
  </si>
  <si>
    <t>Labor</t>
  </si>
  <si>
    <t>Total Revenue</t>
  </si>
  <si>
    <t>Costing Elements</t>
  </si>
  <si>
    <t>Net Profit Margin</t>
  </si>
  <si>
    <t>Profit Margin</t>
  </si>
  <si>
    <t>Units to Build</t>
  </si>
  <si>
    <t>Unit Sales Price</t>
  </si>
  <si>
    <t>Materials (Average)</t>
  </si>
  <si>
    <t>Equipment (Average)</t>
  </si>
  <si>
    <t>Labor (Average)</t>
  </si>
  <si>
    <t>Subtotal Variable Costs</t>
  </si>
  <si>
    <t>Total Variable Cost</t>
  </si>
  <si>
    <t>Applied Monte Carlo Simulation</t>
  </si>
  <si>
    <t>(An 8-Step Process)</t>
  </si>
  <si>
    <t>A UDEMY Course by Akram Najjar</t>
  </si>
  <si>
    <t>(c) 2024 - Material in this workbook and the resource folder is the property of the author.</t>
  </si>
  <si>
    <r>
      <t xml:space="preserve">The material is part of the course and </t>
    </r>
    <r>
      <rPr>
        <b/>
        <sz val="18"/>
        <rFont val="Calibri"/>
        <family val="2"/>
      </rPr>
      <t>can only be used for your personal</t>
    </r>
    <r>
      <rPr>
        <sz val="18"/>
        <rFont val="Calibri"/>
        <family val="2"/>
      </rPr>
      <t xml:space="preserve"> use.</t>
    </r>
  </si>
  <si>
    <t>The material cannot be used for such purposes as the following without the express permission of the instructor:</t>
  </si>
  <si>
    <t>The instructor can be contacted via his profile on the course’s page on the UDEMY website.</t>
  </si>
  <si>
    <t>All credits and references are available in the Resources Folder</t>
  </si>
  <si>
    <t>·        Inclusion in other courses or applications</t>
  </si>
  <si>
    <t>·        Use in a corporation for internal processing and training</t>
  </si>
  <si>
    <t>·        Inclusion in videos or presentations meant for commercial use</t>
  </si>
  <si>
    <t>·        Resale of the course or its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</si>
</sst>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sz val="18"/>
      <name val="Calibri"/>
      <family val="2"/>
    </font>
    <font>
      <b/>
      <sz val="18"/>
      <name val="Calibri"/>
      <family val="2"/>
    </font>
    <font>
      <b/>
      <sz val="28"/>
      <color rgb="FF000000"/>
      <name val="Calibri"/>
      <family val="2"/>
    </font>
    <font>
      <sz val="10"/>
      <color rgb="FF000000"/>
      <name val="Arial"/>
      <family val="2"/>
    </font>
    <font>
      <sz val="2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6" fillId="0" borderId="0"/>
  </cellStyleXfs>
  <cellXfs count="18">
    <xf numFmtId="0" fontId="0" fillId="0" borderId="0" xfId="0"/>
    <xf numFmtId="0" fontId="1" fillId="2" borderId="0" xfId="1" applyFill="1"/>
    <xf numFmtId="0" fontId="2" fillId="2" borderId="0" xfId="1" applyFont="1" applyFill="1"/>
    <xf numFmtId="3" fontId="1" fillId="2" borderId="0" xfId="1" applyNumberFormat="1" applyFill="1"/>
    <xf numFmtId="0" fontId="1" fillId="2" borderId="1" xfId="1" applyFill="1" applyBorder="1"/>
    <xf numFmtId="0" fontId="1" fillId="2" borderId="2" xfId="1" applyFill="1" applyBorder="1"/>
    <xf numFmtId="3" fontId="4" fillId="3" borderId="1" xfId="1" applyNumberFormat="1" applyFont="1" applyFill="1" applyBorder="1"/>
    <xf numFmtId="3" fontId="1" fillId="2" borderId="1" xfId="1" applyNumberFormat="1" applyFill="1" applyBorder="1"/>
    <xf numFmtId="10" fontId="1" fillId="4" borderId="1" xfId="5" applyNumberFormat="1" applyFont="1" applyFill="1" applyBorder="1"/>
    <xf numFmtId="3" fontId="2" fillId="5" borderId="1" xfId="1" applyNumberFormat="1" applyFont="1" applyFill="1" applyBorder="1"/>
    <xf numFmtId="0" fontId="1" fillId="2" borderId="0" xfId="1" applyFill="1" applyAlignment="1">
      <alignment horizontal="left" indent="1"/>
    </xf>
    <xf numFmtId="3" fontId="1" fillId="4" borderId="1" xfId="1" applyNumberFormat="1" applyFill="1" applyBorder="1"/>
    <xf numFmtId="0" fontId="7" fillId="2" borderId="0" xfId="2" applyFont="1" applyFill="1" applyProtection="1">
      <protection locked="0"/>
    </xf>
    <xf numFmtId="0" fontId="10" fillId="6" borderId="0" xfId="0" applyFont="1" applyFill="1" applyProtection="1">
      <protection locked="0"/>
    </xf>
    <xf numFmtId="0" fontId="11" fillId="6" borderId="0" xfId="0" applyFont="1" applyFill="1" applyProtection="1">
      <protection locked="0"/>
    </xf>
    <xf numFmtId="0" fontId="12" fillId="6" borderId="0" xfId="0" applyFont="1" applyFill="1" applyProtection="1">
      <protection locked="0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4"/>
    </xf>
  </cellXfs>
  <cellStyles count="7">
    <cellStyle name="Normal" xfId="0" builtinId="0"/>
    <cellStyle name="Normal 2" xfId="1" xr:uid="{9B4C49C2-BB4B-439C-8933-5401261A19B7}"/>
    <cellStyle name="Normal 2 2" xfId="4" xr:uid="{3829A694-0F15-4520-AA40-F263EE09C354}"/>
    <cellStyle name="Normal 2 3" xfId="6" xr:uid="{903B0FB4-C21E-406A-8BAD-D54649DB9722}"/>
    <cellStyle name="Normal 3" xfId="2" xr:uid="{EF668E5B-DB7B-42D2-8440-E5788FA73867}"/>
    <cellStyle name="Normal 4" xfId="3" xr:uid="{A251B6FC-8533-4CC8-AD66-60E02996E45C}"/>
    <cellStyle name="Percent" xfId="5" builtinId="5"/>
  </cellStyles>
  <dxfs count="0"/>
  <tableStyles count="0" defaultTableStyle="TableStyleMedium9" defaultPivotStyle="PivotStyleLight16"/>
  <colors>
    <mruColors>
      <color rgb="FF0064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197070</xdr:colOff>
      <xdr:row>3</xdr:row>
      <xdr:rowOff>39415</xdr:rowOff>
    </xdr:from>
    <xdr:to>
      <xdr:col>6</xdr:col>
      <xdr:colOff>269328</xdr:colOff>
      <xdr:row>8</xdr:row>
      <xdr:rowOff>19707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611C02-12D8-460D-8C58-4F631B7ECB44}"/>
            </a:ext>
          </a:extLst>
        </xdr:cNvPr>
        <xdr:cNvSpPr txBox="1"/>
      </xdr:nvSpPr>
      <xdr:spPr>
        <a:xfrm>
          <a:off x="2995449" y="532087"/>
          <a:ext cx="1905000" cy="80141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Input Variables (in green) were estimated by 1 expert.</a:t>
          </a:r>
        </a:p>
        <a:p>
          <a:r>
            <a:rPr lang="en-US" sz="1100"/>
            <a:t>We</a:t>
          </a:r>
          <a:r>
            <a:rPr lang="en-US" sz="1100" baseline="0"/>
            <a:t> had to depend on his or her estimates.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111673</xdr:colOff>
      <xdr:row>3</xdr:row>
      <xdr:rowOff>105104</xdr:rowOff>
    </xdr:from>
    <xdr:to>
      <xdr:col>7</xdr:col>
      <xdr:colOff>183931</xdr:colOff>
      <xdr:row>10</xdr:row>
      <xdr:rowOff>13138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DB394C-8FE3-0D7E-6EEA-370874C69602}"/>
            </a:ext>
          </a:extLst>
        </xdr:cNvPr>
        <xdr:cNvSpPr txBox="1"/>
      </xdr:nvSpPr>
      <xdr:spPr>
        <a:xfrm>
          <a:off x="3665483" y="597776"/>
          <a:ext cx="1905000" cy="105760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Input Variables (in green) were estimated by N experts and an average,</a:t>
          </a:r>
          <a:r>
            <a:rPr lang="en-US" sz="1100" baseline="0"/>
            <a:t> for each, was used instead of the fixed single estimate in the first worksheet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218F-FA2A-416B-ADA6-880BEBADC4DE}">
  <sheetPr codeName="Sheet2"/>
  <dimension ref="A1:B17"/>
  <sheetViews>
    <sheetView showGridLines="0" tabSelected="1" zoomScale="85" zoomScaleNormal="85" workbookViewId="0">
      <selection sqref="A1:B16"/>
    </sheetView>
  </sheetViews>
  <sheetFormatPr defaultRowHeight="12.75" x14ac:dyDescent="0.2"/>
  <cols>
    <col min="1" max="16384" width="9.140625" style="12"/>
  </cols>
  <sheetData>
    <row r="1" spans="1:2" ht="36" x14ac:dyDescent="0.55000000000000004">
      <c r="A1" s="13" t="s">
        <v>14</v>
      </c>
      <c r="B1" s="13"/>
    </row>
    <row r="2" spans="1:2" ht="36" x14ac:dyDescent="0.55000000000000004">
      <c r="A2" s="13" t="s">
        <v>15</v>
      </c>
      <c r="B2" s="13"/>
    </row>
    <row r="3" spans="1:2" ht="17.25" customHeight="1" x14ac:dyDescent="0.2">
      <c r="A3" s="14"/>
      <c r="B3" s="14"/>
    </row>
    <row r="4" spans="1:2" ht="31.5" x14ac:dyDescent="0.5">
      <c r="A4" s="15" t="s">
        <v>16</v>
      </c>
      <c r="B4" s="15"/>
    </row>
    <row r="5" spans="1:2" ht="31.5" x14ac:dyDescent="0.5">
      <c r="A5" s="15" t="s">
        <v>21</v>
      </c>
      <c r="B5" s="15"/>
    </row>
    <row r="6" spans="1:2" ht="27" customHeight="1" x14ac:dyDescent="0.5">
      <c r="A6" s="15"/>
      <c r="B6" s="14"/>
    </row>
    <row r="7" spans="1:2" ht="21" customHeight="1" x14ac:dyDescent="0.2">
      <c r="A7" s="16" t="s">
        <v>17</v>
      </c>
      <c r="B7" s="14"/>
    </row>
    <row r="8" spans="1:2" ht="21" customHeight="1" x14ac:dyDescent="0.2">
      <c r="A8" s="16" t="s">
        <v>18</v>
      </c>
      <c r="B8" s="14"/>
    </row>
    <row r="9" spans="1:2" ht="21" customHeight="1" x14ac:dyDescent="0.2">
      <c r="A9" s="16" t="s">
        <v>19</v>
      </c>
      <c r="B9" s="14"/>
    </row>
    <row r="10" spans="1:2" ht="21" customHeight="1" x14ac:dyDescent="0.2">
      <c r="A10" s="16"/>
      <c r="B10" s="14"/>
    </row>
    <row r="11" spans="1:2" ht="21" customHeight="1" x14ac:dyDescent="0.2">
      <c r="A11" s="17" t="s">
        <v>22</v>
      </c>
      <c r="B11" s="14"/>
    </row>
    <row r="12" spans="1:2" ht="21" customHeight="1" x14ac:dyDescent="0.2">
      <c r="A12" s="17" t="s">
        <v>23</v>
      </c>
      <c r="B12" s="14"/>
    </row>
    <row r="13" spans="1:2" ht="21" customHeight="1" x14ac:dyDescent="0.2">
      <c r="A13" s="17" t="s">
        <v>24</v>
      </c>
      <c r="B13" s="14"/>
    </row>
    <row r="14" spans="1:2" ht="21" customHeight="1" x14ac:dyDescent="0.2">
      <c r="A14" s="17" t="s">
        <v>25</v>
      </c>
      <c r="B14" s="14"/>
    </row>
    <row r="15" spans="1:2" ht="21" customHeight="1" x14ac:dyDescent="0.2">
      <c r="A15" s="17"/>
      <c r="B15" s="14"/>
    </row>
    <row r="16" spans="1:2" ht="21" customHeight="1" x14ac:dyDescent="0.2">
      <c r="A16" s="16" t="s">
        <v>20</v>
      </c>
      <c r="B16" s="14"/>
    </row>
    <row r="17" ht="21" customHeight="1" x14ac:dyDescent="0.2"/>
  </sheetData>
  <sheetProtection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0D05-7004-4084-B17E-548489C42959}">
  <sheetPr codeName="Sheet1"/>
  <dimension ref="A1:C14"/>
  <sheetViews>
    <sheetView zoomScale="145" zoomScaleNormal="145" workbookViewId="0">
      <selection sqref="A1:C12"/>
    </sheetView>
  </sheetViews>
  <sheetFormatPr defaultRowHeight="12.75" x14ac:dyDescent="0.2"/>
  <cols>
    <col min="1" max="1" width="20.85546875" style="1" bestFit="1" customWidth="1"/>
    <col min="2" max="2" width="12.5703125" style="1" customWidth="1"/>
    <col min="3" max="3" width="14.85546875" style="1" customWidth="1"/>
    <col min="4" max="16384" width="9.140625" style="1"/>
  </cols>
  <sheetData>
    <row r="1" spans="1:3" x14ac:dyDescent="0.2">
      <c r="A1" s="2" t="s">
        <v>4</v>
      </c>
    </row>
    <row r="2" spans="1:3" x14ac:dyDescent="0.2">
      <c r="A2" s="4" t="s">
        <v>0</v>
      </c>
      <c r="B2" s="6">
        <v>40</v>
      </c>
      <c r="C2" s="10"/>
    </row>
    <row r="3" spans="1:3" x14ac:dyDescent="0.2">
      <c r="A3" s="4" t="s">
        <v>1</v>
      </c>
      <c r="B3" s="6">
        <v>50</v>
      </c>
      <c r="C3" s="10"/>
    </row>
    <row r="4" spans="1:3" x14ac:dyDescent="0.2">
      <c r="A4" s="4" t="s">
        <v>2</v>
      </c>
      <c r="B4" s="6">
        <v>60</v>
      </c>
      <c r="C4" s="10"/>
    </row>
    <row r="5" spans="1:3" x14ac:dyDescent="0.2">
      <c r="A5" s="4" t="s">
        <v>12</v>
      </c>
      <c r="B5" s="7">
        <f>SUM(B2:B4)</f>
        <v>150</v>
      </c>
      <c r="C5" s="10" t="str">
        <f t="shared" ref="C5:C12" ca="1" si="0">_xlfn.FORMULATEXT(B5)</f>
        <v>=SUM(B2:B4)</v>
      </c>
    </row>
    <row r="6" spans="1:3" x14ac:dyDescent="0.2">
      <c r="B6" s="3"/>
      <c r="C6" s="10"/>
    </row>
    <row r="7" spans="1:3" x14ac:dyDescent="0.2">
      <c r="A7" s="5" t="s">
        <v>7</v>
      </c>
      <c r="B7" s="9">
        <v>500</v>
      </c>
      <c r="C7" s="10"/>
    </row>
    <row r="8" spans="1:3" x14ac:dyDescent="0.2">
      <c r="A8" s="4" t="s">
        <v>13</v>
      </c>
      <c r="B8" s="7">
        <f>B7*B5</f>
        <v>75000</v>
      </c>
      <c r="C8" s="10" t="str">
        <f t="shared" ca="1" si="0"/>
        <v>=B7*B5</v>
      </c>
    </row>
    <row r="9" spans="1:3" x14ac:dyDescent="0.2">
      <c r="A9" s="1" t="s">
        <v>8</v>
      </c>
      <c r="B9" s="7">
        <v>200</v>
      </c>
      <c r="C9" s="10"/>
    </row>
    <row r="10" spans="1:3" x14ac:dyDescent="0.2">
      <c r="A10" s="4" t="s">
        <v>3</v>
      </c>
      <c r="B10" s="7">
        <f>B9*B7</f>
        <v>100000</v>
      </c>
      <c r="C10" s="10" t="str">
        <f t="shared" ca="1" si="0"/>
        <v>=B9*B7</v>
      </c>
    </row>
    <row r="11" spans="1:3" x14ac:dyDescent="0.2">
      <c r="A11" s="4" t="s">
        <v>6</v>
      </c>
      <c r="B11" s="7">
        <f>B10-B8</f>
        <v>25000</v>
      </c>
      <c r="C11" s="10" t="str">
        <f t="shared" ca="1" si="0"/>
        <v>=B10-B8</v>
      </c>
    </row>
    <row r="12" spans="1:3" x14ac:dyDescent="0.2">
      <c r="A12" s="4" t="s">
        <v>5</v>
      </c>
      <c r="B12" s="8">
        <f>B11/B10</f>
        <v>0.25</v>
      </c>
      <c r="C12" s="10" t="str">
        <f t="shared" ca="1" si="0"/>
        <v>=B11/B10</v>
      </c>
    </row>
    <row r="13" spans="1:3" x14ac:dyDescent="0.2">
      <c r="B13" s="3"/>
    </row>
    <row r="14" spans="1:3" x14ac:dyDescent="0.2">
      <c r="B14" s="3"/>
    </row>
  </sheetData>
  <pageMargins left="0.75" right="0.75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3B23-ABE0-487A-9625-097DD024B963}">
  <dimension ref="A1:C14"/>
  <sheetViews>
    <sheetView zoomScale="145" zoomScaleNormal="145" workbookViewId="0">
      <selection sqref="A1:C12"/>
    </sheetView>
  </sheetViews>
  <sheetFormatPr defaultRowHeight="12.75" x14ac:dyDescent="0.2"/>
  <cols>
    <col min="1" max="1" width="20.85546875" style="1" bestFit="1" customWidth="1"/>
    <col min="2" max="2" width="12.5703125" style="1" customWidth="1"/>
    <col min="3" max="3" width="13.140625" style="1" customWidth="1"/>
    <col min="4" max="16384" width="9.140625" style="1"/>
  </cols>
  <sheetData>
    <row r="1" spans="1:3" x14ac:dyDescent="0.2">
      <c r="A1" s="2" t="s">
        <v>4</v>
      </c>
    </row>
    <row r="2" spans="1:3" x14ac:dyDescent="0.2">
      <c r="A2" s="4" t="s">
        <v>9</v>
      </c>
      <c r="B2" s="6">
        <v>42</v>
      </c>
      <c r="C2" s="10"/>
    </row>
    <row r="3" spans="1:3" x14ac:dyDescent="0.2">
      <c r="A3" s="4" t="s">
        <v>10</v>
      </c>
      <c r="B3" s="6">
        <v>48</v>
      </c>
      <c r="C3" s="10"/>
    </row>
    <row r="4" spans="1:3" x14ac:dyDescent="0.2">
      <c r="A4" s="4" t="s">
        <v>11</v>
      </c>
      <c r="B4" s="6">
        <v>56</v>
      </c>
      <c r="C4" s="10"/>
    </row>
    <row r="5" spans="1:3" x14ac:dyDescent="0.2">
      <c r="A5" s="4" t="s">
        <v>12</v>
      </c>
      <c r="B5" s="7">
        <f>SUM(B2:B4)</f>
        <v>146</v>
      </c>
      <c r="C5" s="10" t="str">
        <f t="shared" ref="C5:C12" ca="1" si="0">_xlfn.FORMULATEXT(B5)</f>
        <v>=SUM(B2:B4)</v>
      </c>
    </row>
    <row r="6" spans="1:3" x14ac:dyDescent="0.2">
      <c r="B6" s="3"/>
      <c r="C6" s="10"/>
    </row>
    <row r="7" spans="1:3" x14ac:dyDescent="0.2">
      <c r="A7" s="5" t="s">
        <v>7</v>
      </c>
      <c r="B7" s="9">
        <v>500</v>
      </c>
      <c r="C7" s="10"/>
    </row>
    <row r="8" spans="1:3" x14ac:dyDescent="0.2">
      <c r="A8" s="4" t="s">
        <v>13</v>
      </c>
      <c r="B8" s="11">
        <f>B7*B5</f>
        <v>73000</v>
      </c>
      <c r="C8" s="10" t="str">
        <f t="shared" ca="1" si="0"/>
        <v>=B7*B5</v>
      </c>
    </row>
    <row r="9" spans="1:3" x14ac:dyDescent="0.2">
      <c r="A9" s="1" t="s">
        <v>8</v>
      </c>
      <c r="B9" s="7">
        <v>200</v>
      </c>
      <c r="C9" s="10"/>
    </row>
    <row r="10" spans="1:3" x14ac:dyDescent="0.2">
      <c r="A10" s="4" t="s">
        <v>3</v>
      </c>
      <c r="B10" s="7">
        <f>B9*B7</f>
        <v>100000</v>
      </c>
      <c r="C10" s="10" t="str">
        <f t="shared" ca="1" si="0"/>
        <v>=B9*B7</v>
      </c>
    </row>
    <row r="11" spans="1:3" x14ac:dyDescent="0.2">
      <c r="A11" s="4" t="s">
        <v>6</v>
      </c>
      <c r="B11" s="11">
        <f>B10-B8</f>
        <v>27000</v>
      </c>
      <c r="C11" s="10" t="str">
        <f t="shared" ca="1" si="0"/>
        <v>=B10-B8</v>
      </c>
    </row>
    <row r="12" spans="1:3" x14ac:dyDescent="0.2">
      <c r="A12" s="4" t="s">
        <v>5</v>
      </c>
      <c r="B12" s="8">
        <f>B11/B10</f>
        <v>0.27</v>
      </c>
      <c r="C12" s="10" t="str">
        <f t="shared" ca="1" si="0"/>
        <v>=B11/B10</v>
      </c>
    </row>
    <row r="13" spans="1:3" x14ac:dyDescent="0.2">
      <c r="B13" s="3"/>
    </row>
    <row r="14" spans="1:3" x14ac:dyDescent="0.2">
      <c r="B14" s="3"/>
    </row>
  </sheetData>
  <pageMargins left="0.75" right="0.75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  (2)</vt:lpstr>
      <vt:lpstr>Net Profit Fixed Estimates</vt:lpstr>
      <vt:lpstr>Net Profit using N Estimates</vt:lpstr>
    </vt:vector>
  </TitlesOfParts>
  <Company>www.marginalbooks.com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Najjar</dc:creator>
  <cp:lastModifiedBy>Akram Najjar</cp:lastModifiedBy>
  <dcterms:created xsi:type="dcterms:W3CDTF">2001-07-10T10:54:36Z</dcterms:created>
  <dcterms:modified xsi:type="dcterms:W3CDTF">2024-05-18T07:08:18Z</dcterms:modified>
</cp:coreProperties>
</file>