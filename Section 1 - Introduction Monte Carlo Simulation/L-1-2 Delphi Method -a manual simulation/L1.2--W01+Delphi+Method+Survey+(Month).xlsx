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codeName="ThisWorkbook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2 The Delphi Method - A Manual Simulation\Resources\"/>
    </mc:Choice>
  </mc:AlternateContent>
  <xr:revisionPtr revIDLastSave="0" documentId="13_ncr:1_{FE873792-D2C0-4779-8CB0-31483A5A75BF}" xr6:coauthVersionLast="47" xr6:coauthVersionMax="47" xr10:uidLastSave="{00000000-0000-0000-0000-000000000000}"/>
  <bookViews>
    <workbookView xWindow="1050" yWindow="-120" windowWidth="20085" windowHeight="13740" activeTab="3" xr2:uid="{00000000-000D-0000-FFFF-FFFF00000000}"/>
  </bookViews>
  <sheets>
    <sheet name="Intro " sheetId="18" r:id="rId1"/>
    <sheet name="Delphi Card" sheetId="15" r:id="rId2"/>
    <sheet name="Delphi Table (Long Way)" sheetId="16" r:id="rId3"/>
    <sheet name="Delphi Table (Short Way)" sheetId="17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2" hidden="1">'Delphi Table (Long Way)'!$A$1:$B$20</definedName>
    <definedName name="_xlnm._FilterDatabase" localSheetId="3" hidden="1">'Delphi Table (Short Way)'!$A$1:$B$20</definedName>
    <definedName name="anscount" hidden="1">1</definedName>
    <definedName name="limcount" hidden="1">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6" l="1"/>
  <c r="C3" i="16"/>
  <c r="D3" i="16" s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B22" i="17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" i="16"/>
  <c r="B22" i="16"/>
  <c r="D10" i="17"/>
  <c r="E19" i="16"/>
  <c r="E4" i="16"/>
  <c r="D2" i="17"/>
  <c r="D14" i="17"/>
  <c r="E21" i="16"/>
  <c r="D8" i="17"/>
  <c r="E9" i="16"/>
  <c r="E10" i="16"/>
  <c r="D18" i="17"/>
  <c r="D15" i="17"/>
  <c r="E13" i="16"/>
  <c r="D13" i="17"/>
  <c r="D5" i="17"/>
  <c r="E20" i="16"/>
  <c r="D3" i="17"/>
  <c r="E2" i="16"/>
  <c r="E8" i="16"/>
  <c r="E5" i="16"/>
  <c r="D9" i="17"/>
  <c r="E3" i="16"/>
  <c r="D7" i="17"/>
  <c r="E15" i="16"/>
  <c r="D20" i="17"/>
  <c r="E16" i="16"/>
  <c r="D11" i="17"/>
  <c r="D21" i="17"/>
  <c r="D16" i="17"/>
  <c r="E18" i="16"/>
  <c r="E14" i="16"/>
  <c r="E17" i="16"/>
  <c r="E6" i="16"/>
  <c r="E12" i="16"/>
  <c r="E11" i="16"/>
  <c r="D6" i="17"/>
  <c r="D17" i="17"/>
  <c r="D4" i="17"/>
  <c r="D12" i="17"/>
  <c r="D19" i="17"/>
  <c r="E7" i="16"/>
</calcChain>
</file>

<file path=xl/sharedStrings.xml><?xml version="1.0" encoding="utf-8"?>
<sst xmlns="http://schemas.openxmlformats.org/spreadsheetml/2006/main" count="122" uniqueCount="63">
  <si>
    <t>1978 Q1</t>
  </si>
  <si>
    <t>1978 Q2</t>
  </si>
  <si>
    <t>1978 Q3</t>
  </si>
  <si>
    <t>1979 Q1</t>
  </si>
  <si>
    <t>1979 Q2</t>
  </si>
  <si>
    <t>1979 Q3</t>
  </si>
  <si>
    <t>1979 Q4</t>
  </si>
  <si>
    <t>1980 Q1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</si>
  <si>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</si>
  <si>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</si>
  <si>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</si>
  <si>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</si>
  <si>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</si>
  <si>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</si>
  <si>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</si>
  <si>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1978 Q4</t>
  </si>
  <si>
    <t>ü</t>
  </si>
  <si>
    <t>Freq</t>
  </si>
  <si>
    <t>Cum Freq %</t>
  </si>
  <si>
    <t>1980 Q4</t>
  </si>
  <si>
    <t>1981 Q1</t>
  </si>
  <si>
    <t>1981 Q4</t>
  </si>
  <si>
    <t>Total</t>
  </si>
  <si>
    <t>1980 Q2</t>
  </si>
  <si>
    <t>1980 Q3</t>
  </si>
  <si>
    <t>1981 Q2</t>
  </si>
  <si>
    <t>1981 Q3</t>
  </si>
  <si>
    <t>Cum Freq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</si>
  <si>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</si>
  <si>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</si>
  <si>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</si>
  <si>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</si>
  <si>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</si>
  <si>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</si>
  <si>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</si>
  <si>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</si>
  <si>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</si>
  <si>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</si>
  <si>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</si>
  <si>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</si>
  <si>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</si>
  <si>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</si>
  <si>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</si>
  <si>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</si>
  <si>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</si>
  <si>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</si>
  <si>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</si>
  <si>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</si>
  <si>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Month</t>
  </si>
  <si>
    <t>Title</t>
  </si>
  <si>
    <t>Q3: Frequency Chart for 20 Months</t>
  </si>
  <si>
    <t>Applied Monte Carlo Simulation</t>
  </si>
  <si>
    <t>(An 8-Step Process)</t>
  </si>
  <si>
    <t>A UDEMY Course by Akram Najjar</t>
  </si>
  <si>
    <t>(c) 2024 - Material in this workbook and the resource folder is the property of the author.</t>
  </si>
  <si>
    <r>
      <t xml:space="preserve">The material is part of the course and </t>
    </r>
    <r>
      <rPr>
        <b/>
        <sz val="18"/>
        <rFont val="Calibri"/>
        <family val="2"/>
      </rPr>
      <t>can only be used for your personal</t>
    </r>
    <r>
      <rPr>
        <sz val="18"/>
        <rFont val="Calibri"/>
        <family val="2"/>
      </rPr>
      <t xml:space="preserve"> use.</t>
    </r>
  </si>
  <si>
    <t>The material cannot be used for such purposes as the following without the express permission of the instructor:</t>
  </si>
  <si>
    <t>The instructor can be contacted via his profile on the course’s page on the UDEMY website.</t>
  </si>
  <si>
    <t>All credits and references are available in the Resources Folder</t>
  </si>
  <si>
    <t>·        Inclusion in other courses or applications</t>
  </si>
  <si>
    <t>·        Use in a corporation for internal processing and training</t>
  </si>
  <si>
    <t>·        Inclusion in videos or presentations meant for commercial use</t>
  </si>
  <si>
    <t>·        Resale of the course or its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</si>
</sst>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0"/>
      <name val="Calibri"/>
      <family val="2"/>
    </font>
    <font>
      <b/>
      <sz val="12"/>
      <name val="Calibri"/>
      <family val="2"/>
    </font>
    <font>
      <b/>
      <sz val="16"/>
      <name val="Wingdings"/>
      <charset val="2"/>
    </font>
    <font>
      <sz val="10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</font>
    <font>
      <sz val="10"/>
      <color theme="1"/>
      <name val="Arial"/>
      <family val="2"/>
    </font>
    <font>
      <b/>
      <sz val="28"/>
      <color theme="1"/>
      <name val="Calibri"/>
      <family val="2"/>
    </font>
    <font>
      <sz val="24"/>
      <color theme="1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4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12" fillId="0" borderId="0"/>
    <xf numFmtId="0" fontId="6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8" fillId="2" borderId="1" xfId="1" applyNumberFormat="1" applyFont="1" applyFill="1" applyBorder="1" applyAlignment="1">
      <alignment horizontal="left"/>
    </xf>
    <xf numFmtId="3" fontId="8" fillId="2" borderId="1" xfId="1" applyNumberFormat="1" applyFont="1" applyFill="1" applyBorder="1" applyAlignment="1">
      <alignment horizontal="right"/>
    </xf>
    <xf numFmtId="0" fontId="9" fillId="0" borderId="0" xfId="1" applyFont="1"/>
    <xf numFmtId="0" fontId="10" fillId="3" borderId="2" xfId="1" applyFont="1" applyFill="1" applyBorder="1" applyAlignment="1">
      <alignment horizontal="center" vertical="center" wrapText="1" readingOrder="1"/>
    </xf>
    <xf numFmtId="0" fontId="9" fillId="3" borderId="1" xfId="1" quotePrefix="1" applyFont="1" applyFill="1" applyBorder="1"/>
    <xf numFmtId="3" fontId="9" fillId="3" borderId="1" xfId="1" applyNumberFormat="1" applyFont="1" applyFill="1" applyBorder="1"/>
    <xf numFmtId="4" fontId="9" fillId="3" borderId="1" xfId="1" applyNumberFormat="1" applyFont="1" applyFill="1" applyBorder="1"/>
    <xf numFmtId="164" fontId="10" fillId="3" borderId="4" xfId="1" applyNumberFormat="1" applyFont="1" applyFill="1" applyBorder="1" applyAlignment="1">
      <alignment horizontal="center" vertical="center" wrapText="1" readingOrder="1"/>
    </xf>
    <xf numFmtId="0" fontId="9" fillId="4" borderId="1" xfId="1" quotePrefix="1" applyFont="1" applyFill="1" applyBorder="1"/>
    <xf numFmtId="3" fontId="9" fillId="4" borderId="1" xfId="1" applyNumberFormat="1" applyFont="1" applyFill="1" applyBorder="1"/>
    <xf numFmtId="4" fontId="9" fillId="4" borderId="1" xfId="1" applyNumberFormat="1" applyFont="1" applyFill="1" applyBorder="1"/>
    <xf numFmtId="0" fontId="9" fillId="3" borderId="1" xfId="1" applyFont="1" applyFill="1" applyBorder="1"/>
    <xf numFmtId="0" fontId="11" fillId="3" borderId="1" xfId="1" applyFont="1" applyFill="1" applyBorder="1" applyAlignment="1">
      <alignment horizontal="left"/>
    </xf>
    <xf numFmtId="3" fontId="11" fillId="3" borderId="1" xfId="1" applyNumberFormat="1" applyFont="1" applyFill="1" applyBorder="1"/>
    <xf numFmtId="0" fontId="9" fillId="3" borderId="5" xfId="1" applyFont="1" applyFill="1" applyBorder="1"/>
    <xf numFmtId="0" fontId="9" fillId="3" borderId="6" xfId="1" applyFont="1" applyFill="1" applyBorder="1"/>
    <xf numFmtId="0" fontId="10" fillId="3" borderId="1" xfId="1" applyFont="1" applyFill="1" applyBorder="1" applyAlignment="1">
      <alignment horizontal="left" vertical="center" wrapText="1" readingOrder="1"/>
    </xf>
    <xf numFmtId="0" fontId="9" fillId="0" borderId="0" xfId="1" applyFont="1" applyAlignment="1">
      <alignment horizontal="left"/>
    </xf>
    <xf numFmtId="0" fontId="14" fillId="3" borderId="0" xfId="3" applyFont="1" applyFill="1" applyProtection="1">
      <protection locked="0"/>
    </xf>
    <xf numFmtId="0" fontId="13" fillId="3" borderId="0" xfId="4" applyFont="1" applyFill="1" applyProtection="1">
      <protection locked="0"/>
    </xf>
    <xf numFmtId="0" fontId="15" fillId="3" borderId="0" xfId="3" applyFont="1" applyFill="1" applyProtection="1">
      <protection locked="0"/>
    </xf>
    <xf numFmtId="0" fontId="16" fillId="0" borderId="0" xfId="3" applyFont="1" applyAlignment="1">
      <alignment vertical="center"/>
    </xf>
    <xf numFmtId="0" fontId="16" fillId="0" borderId="0" xfId="3" applyFont="1" applyAlignment="1">
      <alignment horizontal="left" vertical="center" indent="4"/>
    </xf>
    <xf numFmtId="0" fontId="18" fillId="0" borderId="0" xfId="3" applyFont="1" applyAlignment="1">
      <alignment horizontal="left" vertical="center" indent="4"/>
    </xf>
  </cellXfs>
  <cellStyles count="5">
    <cellStyle name="Normal" xfId="0" builtinId="0"/>
    <cellStyle name="Normal 2" xfId="1" xr:uid="{127FD713-6D95-4F99-8D1C-04ABF7578CFA}"/>
    <cellStyle name="Normal 2 2" xfId="2" xr:uid="{AFEE42B6-F9F1-4765-8841-7EE9886BBB7C}"/>
    <cellStyle name="Normal 2 3" xfId="3" xr:uid="{FEC726C5-6667-44B3-B0EA-1537390146F0}"/>
    <cellStyle name="Normal 3" xfId="4" xr:uid="{5A681469-A3FC-49EF-B96B-382B8CF03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'Delphi Table (Long Way)'!$B$1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'Delphi Table (Long Way)'!$A$2:$A$21</c:f>
              <c:strCache>
                <c:ptCount val="2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</c:strCache>
            </c:strRef>
          </c:cat>
          <c:val>
            <c:numRef>
              <c:f>'Delphi Table (Long Way)'!$B$2:$B$21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15</c:v>
                </c:pt>
                <c:pt idx="4">
                  <c:v>34</c:v>
                </c:pt>
                <c:pt idx="5">
                  <c:v>45</c:v>
                </c:pt>
                <c:pt idx="6">
                  <c:v>46</c:v>
                </c:pt>
                <c:pt idx="7">
                  <c:v>45</c:v>
                </c:pt>
                <c:pt idx="8">
                  <c:v>16</c:v>
                </c:pt>
                <c:pt idx="9">
                  <c:v>10</c:v>
                </c:pt>
                <c:pt idx="10">
                  <c:v>9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5-4697-9214-89E7B7F6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344896"/>
        <c:axId val="812820752"/>
      </c:barChart>
      <c:scatterChart>
        <c:scatterStyle val="lineMarker"/>
        <c:varyColors val="0"/>
        <c:ser>
          <c:idx val="1"/>
          <c:order val="1"/>
          <c:tx>
            <c:strRef>
              <c:f>'Delphi Table (Long Way)'!$D$1</c:f>
              <c:strCache>
                <c:ptCount val="1"/>
                <c:pt idx="0">
                  <c:v>Cum Freq 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strRef>
              <c:f>'Delphi Table (Long Way)'!$A$2:$A$21</c:f>
              <c:strCache>
                <c:ptCount val="2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</c:strCache>
            </c:strRef>
          </c:xVal>
          <c:yVal>
            <c:numRef>
              <c:f>'Delphi Table (Long Way)'!$D$2:$D$21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1.6877637130801686E-2</c:v>
                </c:pt>
                <c:pt idx="3">
                  <c:v>8.0168776371308023E-2</c:v>
                </c:pt>
                <c:pt idx="4">
                  <c:v>0.22362869198312235</c:v>
                </c:pt>
                <c:pt idx="5">
                  <c:v>0.41350210970464135</c:v>
                </c:pt>
                <c:pt idx="6">
                  <c:v>0.60759493670886078</c:v>
                </c:pt>
                <c:pt idx="7">
                  <c:v>0.79746835443037978</c:v>
                </c:pt>
                <c:pt idx="8">
                  <c:v>0.86497890295358648</c:v>
                </c:pt>
                <c:pt idx="9">
                  <c:v>0.90717299578059074</c:v>
                </c:pt>
                <c:pt idx="10">
                  <c:v>0.94514767932489452</c:v>
                </c:pt>
                <c:pt idx="11">
                  <c:v>0.97046413502109707</c:v>
                </c:pt>
                <c:pt idx="12">
                  <c:v>0.9831223628691983</c:v>
                </c:pt>
                <c:pt idx="13">
                  <c:v>0.99156118143459915</c:v>
                </c:pt>
                <c:pt idx="14">
                  <c:v>0.99578059071729963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5-4697-9214-89E7B7F6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782496"/>
        <c:axId val="763782080"/>
      </c:scatterChart>
      <c:catAx>
        <c:axId val="765344896"/>
        <c:scaling>
          <c:orientation val="minMax"/>
        </c:scaling>
        <c:delete val="0"/>
        <c:axPos val="b"/>
        <c:title>
          <c:tx>
            <c:strRef>
              <c:f>'Delphi Table (Long Way)'!$A$1</c:f>
              <c:strCache>
                <c:ptCount val="1"/>
                <c:pt idx="0">
                  <c:v>Month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20752"/>
        <c:crosses val="autoZero"/>
        <c:auto val="1"/>
        <c:lblAlgn val="ctr"/>
        <c:lblOffset val="100"/>
        <c:tickLblSkip val="1"/>
        <c:noMultiLvlLbl val="1"/>
      </c:catAx>
      <c:valAx>
        <c:axId val="812820752"/>
        <c:scaling>
          <c:orientation val="minMax"/>
          <c:max val="50"/>
        </c:scaling>
        <c:delete val="0"/>
        <c:axPos val="l"/>
        <c:title>
          <c:tx>
            <c:strRef>
              <c:f>'Delphi Table (Long Way)'!$B$1</c:f>
              <c:strCache>
                <c:ptCount val="1"/>
                <c:pt idx="0">
                  <c:v>Freq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44896"/>
        <c:crosses val="autoZero"/>
        <c:crossBetween val="between"/>
      </c:valAx>
      <c:valAx>
        <c:axId val="763782080"/>
        <c:scaling>
          <c:orientation val="minMax"/>
          <c:max val="1"/>
        </c:scaling>
        <c:delete val="0"/>
        <c:axPos val="r"/>
        <c:title>
          <c:tx>
            <c:strRef>
              <c:f>'Delphi Table (Long Way)'!$D$1</c:f>
              <c:strCache>
                <c:ptCount val="1"/>
                <c:pt idx="0">
                  <c:v>Cum Freq 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82496"/>
        <c:crosses val="max"/>
        <c:crossBetween val="midCat"/>
      </c:valAx>
      <c:valAx>
        <c:axId val="763782496"/>
        <c:scaling>
          <c:orientation val="minMax"/>
        </c:scaling>
        <c:delete val="1"/>
        <c:axPos val="b"/>
        <c:majorTickMark val="none"/>
        <c:minorTickMark val="none"/>
        <c:tickLblPos val="nextTo"/>
        <c:crossAx val="76378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'Delphi Table (Long Way)'!$K$1</c:f>
          <c:strCache>
            <c:ptCount val="1"/>
            <c:pt idx="0">
              <c:v>Q3: Frequency Chart for 20 Months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'Delphi Table (Long Way)'!$B$1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3AA-44BC-BD74-3C1EC114F835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3AA-44BC-BD74-3C1EC114F83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95A525B-10D1-4B13-AABA-6A021E01C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AA-44BC-BD74-3C1EC114F83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55A47B-98F9-4A1C-8060-AA48C3584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AA-44BC-BD74-3C1EC114F8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F46422-D977-4EC9-8A09-3CF86EFFA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AA-44BC-BD74-3C1EC114F83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86D0B3-EF40-4600-BEA2-5CAEF02AC0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AA-44BC-BD74-3C1EC114F8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2BD884-1CC8-4899-8343-5E42B552D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AA-44BC-BD74-3C1EC114F83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29B29E-4945-4847-AD3C-1D685B7D38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AA-44BC-BD74-3C1EC114F83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D06B0C-DC87-40A0-87E8-15FCD7E5B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AA-44BC-BD74-3C1EC114F83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EA8AFD-A766-465D-A099-5AE740808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AA-44BC-BD74-3C1EC114F83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800D83-2209-4665-9016-3543CE5141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AA-44BC-BD74-3C1EC114F83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398165D-5C70-4B1F-AA94-19F59B9CA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AA-44BC-BD74-3C1EC114F8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1E4DA31-3D26-4C16-84AD-B5ED1138C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AA-44BC-BD74-3C1EC114F83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5A088E8-48FA-4CFB-8800-889B81758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AA-44BC-BD74-3C1EC114F83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6E8E510-1AFB-49B7-A55D-4DA2E8CB3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AA-44BC-BD74-3C1EC114F83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44A877-F378-4C8F-A014-750EB5B0E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AA-44BC-BD74-3C1EC114F83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197E36C-F333-4C19-840C-02C499BFC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3AA-44BC-BD74-3C1EC114F83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D703801-1B33-46F8-A572-71AD188132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3AA-44BC-BD74-3C1EC114F83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717F2A8-FBED-4A27-ABB9-96DFC451C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3AA-44BC-BD74-3C1EC114F83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3D3367B-B891-4165-A681-B915C6D7EC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3AA-44BC-BD74-3C1EC114F83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1DF9C47-7A3D-4FD6-992E-23379F9FD1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3AA-44BC-BD74-3C1EC114F83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BEC812-6AC9-48A1-89BB-8366D5A86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3AA-44BC-BD74-3C1EC114F8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'Delphi Table (Long Way)'!$A$2:$A$21</c:f>
              <c:strCache>
                <c:ptCount val="2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</c:strCache>
            </c:strRef>
          </c:cat>
          <c:val>
            <c:numRef>
              <c:f>'Delphi Table (Long Way)'!$B$2:$B$21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15</c:v>
                </c:pt>
                <c:pt idx="4">
                  <c:v>34</c:v>
                </c:pt>
                <c:pt idx="5">
                  <c:v>45</c:v>
                </c:pt>
                <c:pt idx="6">
                  <c:v>46</c:v>
                </c:pt>
                <c:pt idx="7">
                  <c:v>45</c:v>
                </c:pt>
                <c:pt idx="8">
                  <c:v>16</c:v>
                </c:pt>
                <c:pt idx="9">
                  <c:v>10</c:v>
                </c:pt>
                <c:pt idx="10">
                  <c:v>9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'Delphi Table (Long Way)'!$B$2:$B$21</c15:f>
                <c15:dlblRangeCach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4</c:v>
                  </c:pt>
                  <c:pt idx="3">
                    <c:v>15</c:v>
                  </c:pt>
                  <c:pt idx="4">
                    <c:v>34</c:v>
                  </c:pt>
                  <c:pt idx="5">
                    <c:v>45</c:v>
                  </c:pt>
                  <c:pt idx="6">
                    <c:v>46</c:v>
                  </c:pt>
                  <c:pt idx="7">
                    <c:v>45</c:v>
                  </c:pt>
                  <c:pt idx="8">
                    <c:v>16</c:v>
                  </c:pt>
                  <c:pt idx="9">
                    <c:v>10</c:v>
                  </c:pt>
                  <c:pt idx="10">
                    <c:v>9</c:v>
                  </c:pt>
                  <c:pt idx="11">
                    <c:v>6</c:v>
                  </c:pt>
                  <c:pt idx="12">
                    <c:v>3</c:v>
                  </c:pt>
                  <c:pt idx="13">
                    <c:v>2</c:v>
                  </c:pt>
                  <c:pt idx="14">
                    <c:v>1</c:v>
                  </c:pt>
                  <c:pt idx="15">
                    <c:v>1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AA-44BC-BD74-3C1EC114F8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65344896"/>
        <c:axId val="812820752"/>
      </c:barChart>
      <c:catAx>
        <c:axId val="765344896"/>
        <c:scaling>
          <c:orientation val="minMax"/>
        </c:scaling>
        <c:delete val="0"/>
        <c:axPos val="b"/>
        <c:title>
          <c:tx>
            <c:strRef>
              <c:f>'Delphi Table (Long Way)'!$A$1</c:f>
              <c:strCache>
                <c:ptCount val="1"/>
                <c:pt idx="0">
                  <c:v>Month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20752"/>
        <c:crosses val="autoZero"/>
        <c:auto val="1"/>
        <c:lblAlgn val="ctr"/>
        <c:lblOffset val="100"/>
        <c:tickLblSkip val="1"/>
        <c:noMultiLvlLbl val="1"/>
      </c:catAx>
      <c:valAx>
        <c:axId val="812820752"/>
        <c:scaling>
          <c:orientation val="minMax"/>
          <c:max val="50"/>
        </c:scaling>
        <c:delete val="0"/>
        <c:axPos val="l"/>
        <c:title>
          <c:tx>
            <c:strRef>
              <c:f>'Delphi Table (Long Way)'!$B$1</c:f>
              <c:strCache>
                <c:ptCount val="1"/>
                <c:pt idx="0">
                  <c:v>Freq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'Delphi Table (Short Way)'!$B$1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'Delphi Table (Short Way)'!$A$2:$A$21</c:f>
              <c:strCache>
                <c:ptCount val="2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</c:strCache>
            </c:strRef>
          </c:cat>
          <c:val>
            <c:numRef>
              <c:f>'Delphi Table (Short Way)'!$B$2:$B$21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15</c:v>
                </c:pt>
                <c:pt idx="4">
                  <c:v>34</c:v>
                </c:pt>
                <c:pt idx="5">
                  <c:v>45</c:v>
                </c:pt>
                <c:pt idx="6">
                  <c:v>46</c:v>
                </c:pt>
                <c:pt idx="7">
                  <c:v>45</c:v>
                </c:pt>
                <c:pt idx="8">
                  <c:v>16</c:v>
                </c:pt>
                <c:pt idx="9">
                  <c:v>10</c:v>
                </c:pt>
                <c:pt idx="10">
                  <c:v>9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A-40F7-AA21-D12765AC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344896"/>
        <c:axId val="812820752"/>
      </c:barChart>
      <c:scatterChart>
        <c:scatterStyle val="lineMarker"/>
        <c:varyColors val="0"/>
        <c:ser>
          <c:idx val="1"/>
          <c:order val="1"/>
          <c:tx>
            <c:strRef>
              <c:f>'Delphi Table (Short Way)'!$C$1</c:f>
              <c:strCache>
                <c:ptCount val="1"/>
                <c:pt idx="0">
                  <c:v>Cum Freq 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strRef>
              <c:f>'Delphi Table (Short Way)'!$A$2:$A$21</c:f>
              <c:strCache>
                <c:ptCount val="2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</c:strCache>
            </c:strRef>
          </c:xVal>
          <c:yVal>
            <c:numRef>
              <c:f>'Delphi Table (Short Way)'!$C$2:$C$21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1.6877637130801686E-2</c:v>
                </c:pt>
                <c:pt idx="3">
                  <c:v>8.0168776371308023E-2</c:v>
                </c:pt>
                <c:pt idx="4">
                  <c:v>0.22362869198312235</c:v>
                </c:pt>
                <c:pt idx="5">
                  <c:v>0.41350210970464135</c:v>
                </c:pt>
                <c:pt idx="6">
                  <c:v>0.60759493670886078</c:v>
                </c:pt>
                <c:pt idx="7">
                  <c:v>0.79746835443037978</c:v>
                </c:pt>
                <c:pt idx="8">
                  <c:v>0.86497890295358648</c:v>
                </c:pt>
                <c:pt idx="9">
                  <c:v>0.90717299578059074</c:v>
                </c:pt>
                <c:pt idx="10">
                  <c:v>0.94514767932489452</c:v>
                </c:pt>
                <c:pt idx="11">
                  <c:v>0.97046413502109707</c:v>
                </c:pt>
                <c:pt idx="12">
                  <c:v>0.9831223628691983</c:v>
                </c:pt>
                <c:pt idx="13">
                  <c:v>0.99156118143459915</c:v>
                </c:pt>
                <c:pt idx="14">
                  <c:v>0.99578059071729963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A-40F7-AA21-D12765AC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782496"/>
        <c:axId val="763782080"/>
      </c:scatterChart>
      <c:catAx>
        <c:axId val="7653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strRef>
              <c:f>'Delphi Table (Short Way)'!$A$1</c:f>
              <c:strCache>
                <c:ptCount val="1"/>
                <c:pt idx="0">
                  <c:v>Month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20752"/>
        <c:crosses val="autoZero"/>
        <c:auto val="1"/>
        <c:lblAlgn val="ctr"/>
        <c:lblOffset val="100"/>
        <c:tickLblSkip val="1"/>
        <c:noMultiLvlLbl val="1"/>
      </c:catAx>
      <c:valAx>
        <c:axId val="81282075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strRef>
              <c:f>'Delphi Table (Short Way)'!$B$1</c:f>
              <c:strCache>
                <c:ptCount val="1"/>
                <c:pt idx="0">
                  <c:v>Freq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44896"/>
        <c:crosses val="autoZero"/>
        <c:crossBetween val="between"/>
      </c:valAx>
      <c:valAx>
        <c:axId val="763782080"/>
        <c:scaling>
          <c:orientation val="minMax"/>
          <c:max val="1"/>
        </c:scaling>
        <c:delete val="0"/>
        <c:axPos val="r"/>
        <c:title>
          <c:tx>
            <c:strRef>
              <c:f>'Delphi Table (Short Way)'!$C$1</c:f>
              <c:strCache>
                <c:ptCount val="1"/>
                <c:pt idx="0">
                  <c:v>Cum Freq 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82496"/>
        <c:crosses val="max"/>
        <c:crossBetween val="midCat"/>
      </c:valAx>
      <c:valAx>
        <c:axId val="763782496"/>
        <c:scaling>
          <c:orientation val="minMax"/>
        </c:scaling>
        <c:delete val="1"/>
        <c:axPos val="b"/>
        <c:majorTickMark val="none"/>
        <c:minorTickMark val="none"/>
        <c:tickLblPos val="nextTo"/>
        <c:crossAx val="76378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105189</xdr:colOff>
      <xdr:row>16</xdr:row>
      <xdr:rowOff>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3F2A56-10C3-4F3A-8A54-B969AAD11EFC}"/>
            </a:ext>
          </a:extLst>
        </xdr:cNvPr>
        <xdr:cNvSpPr txBox="1"/>
      </xdr:nvSpPr>
      <xdr:spPr>
        <a:xfrm>
          <a:off x="1928813" y="2155031"/>
          <a:ext cx="3057939" cy="141756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Each Engineer received one card</a:t>
          </a:r>
        </a:p>
        <a:p>
          <a:r>
            <a:rPr lang="en-US" sz="1400" b="0"/>
            <a:t>Each card listed all questions (rows)</a:t>
          </a:r>
        </a:p>
        <a:p>
          <a:r>
            <a:rPr lang="en-US" sz="1400" b="0"/>
            <a:t>Each</a:t>
          </a:r>
          <a:r>
            <a:rPr lang="en-US" sz="1400" b="0" baseline="0"/>
            <a:t> question row indicated months in the future (columns)</a:t>
          </a:r>
        </a:p>
        <a:p>
          <a:r>
            <a:rPr lang="en-US" sz="1400" b="0" baseline="0"/>
            <a:t>THe ticks are a sample entry for 7 questions</a:t>
          </a:r>
          <a:endParaRPr lang="en-US" sz="1400" b="0"/>
        </a:p>
        <a:p>
          <a:endParaRPr lang="en-US" sz="1400"/>
        </a:p>
        <a:p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1191922</xdr:colOff>
      <xdr:row>26</xdr:row>
      <xdr:rowOff>125122</xdr:rowOff>
    </xdr:from>
    <xdr:to>
      <xdr:col>13</xdr:col>
      <xdr:colOff>193963</xdr:colOff>
      <xdr:row>36</xdr:row>
      <xdr:rowOff>477115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34438-AB5D-47C0-8768-BF8B96FD8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0</xdr:row>
      <xdr:rowOff>28575</xdr:rowOff>
    </xdr:from>
    <xdr:to>
      <xdr:col>7</xdr:col>
      <xdr:colOff>285750</xdr:colOff>
      <xdr:row>5</xdr:row>
      <xdr:rowOff>228600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EF6065-0502-F022-761E-2429A45C70E3}"/>
            </a:ext>
          </a:extLst>
        </xdr:cNvPr>
        <xdr:cNvSpPr txBox="1"/>
      </xdr:nvSpPr>
      <xdr:spPr>
        <a:xfrm>
          <a:off x="4257675" y="28575"/>
          <a:ext cx="3057525" cy="1409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Calculating the Cum Freq %</a:t>
          </a:r>
        </a:p>
        <a:p>
          <a:r>
            <a:rPr lang="en-US" sz="1400"/>
            <a:t>1) Let C2 = SUM($B$2:B2)</a:t>
          </a:r>
        </a:p>
        <a:p>
          <a:r>
            <a:rPr lang="en-US" sz="1400"/>
            <a:t>This will fix the</a:t>
          </a:r>
          <a:r>
            <a:rPr lang="en-US" sz="1400" baseline="0"/>
            <a:t> first cell ($B$2) and keep the second cell relative (B2)</a:t>
          </a:r>
        </a:p>
        <a:p>
          <a:r>
            <a:rPr lang="en-US" sz="1400" baseline="0"/>
            <a:t>2) Copy C2 down to C21</a:t>
          </a:r>
        </a:p>
        <a:p>
          <a:r>
            <a:rPr lang="en-US" sz="1400" baseline="0"/>
            <a:t>3) Let D2 = C2 / $B$22</a:t>
          </a:r>
          <a:endParaRPr lang="en-US" sz="1400"/>
        </a:p>
      </xdr:txBody>
    </xdr:sp>
    <xdr:clientData/>
  </xdr:twoCellAnchor>
  <xdr:twoCellAnchor>
    <xdr:from>
      <xdr:col>5</xdr:col>
      <xdr:colOff>28086</xdr:colOff>
      <xdr:row>6</xdr:row>
      <xdr:rowOff>160080</xdr:rowOff>
    </xdr:from>
    <xdr:to>
      <xdr:col>13</xdr:col>
      <xdr:colOff>220753</xdr:colOff>
      <xdr:row>25</xdr:row>
      <xdr:rowOff>27163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5C328-3CEA-440D-8749-E67E1C427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7</xdr:row>
      <xdr:rowOff>52386</xdr:rowOff>
    </xdr:from>
    <xdr:to>
      <xdr:col>12</xdr:col>
      <xdr:colOff>38100</xdr:colOff>
      <xdr:row>25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7F705-237E-44F9-8213-A3DB00FFA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0</xdr:row>
      <xdr:rowOff>180975</xdr:rowOff>
    </xdr:from>
    <xdr:to>
      <xdr:col>7</xdr:col>
      <xdr:colOff>304800</xdr:colOff>
      <xdr:row>6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7DEF8-FE3C-443D-89A6-1F9052BA33C3}"/>
            </a:ext>
          </a:extLst>
        </xdr:cNvPr>
        <xdr:cNvSpPr txBox="1"/>
      </xdr:nvSpPr>
      <xdr:spPr>
        <a:xfrm>
          <a:off x="5362575" y="180975"/>
          <a:ext cx="3400425" cy="1409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Calculating the Cum Freq %</a:t>
          </a:r>
        </a:p>
        <a:p>
          <a:r>
            <a:rPr lang="en-US" sz="1400"/>
            <a:t>We can do it directly by </a:t>
          </a:r>
          <a:r>
            <a:rPr lang="en-US" sz="1400" b="1"/>
            <a:t>embedding</a:t>
          </a:r>
          <a:r>
            <a:rPr lang="en-US" sz="1400"/>
            <a:t> the Cum</a:t>
          </a:r>
          <a:r>
            <a:rPr lang="en-US" sz="1400" baseline="0"/>
            <a:t> Freq in the new formula</a:t>
          </a:r>
        </a:p>
        <a:p>
          <a:r>
            <a:rPr lang="en-US" sz="1400" baseline="0"/>
            <a:t>C2 = SUM($B$2:B2) / SUM($B$2:$B$21)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UDEM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UDEMY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UDEMY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UDEMY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456C-3F5B-4B12-BCBC-F7F17987172C}">
  <sheetPr codeName="Sheet4"/>
  <dimension ref="A1:A17"/>
  <sheetViews>
    <sheetView showGridLines="0" zoomScale="85" zoomScaleNormal="85" workbookViewId="0">
      <selection activeCell="G19" sqref="G19"/>
    </sheetView>
  </sheetViews>
  <sheetFormatPr defaultRowHeight="12.75" x14ac:dyDescent="0.2"/>
  <cols>
    <col min="1" max="16384" width="9.140625" style="28"/>
  </cols>
  <sheetData>
    <row r="1" spans="1:1" ht="36" x14ac:dyDescent="0.55000000000000004">
      <c r="A1" s="27" t="s">
        <v>51</v>
      </c>
    </row>
    <row r="2" spans="1:1" ht="36" x14ac:dyDescent="0.55000000000000004">
      <c r="A2" s="27" t="s">
        <v>52</v>
      </c>
    </row>
    <row r="3" spans="1:1" ht="17.25" customHeight="1" x14ac:dyDescent="0.2"/>
    <row r="4" spans="1:1" ht="31.5" x14ac:dyDescent="0.5">
      <c r="A4" s="29" t="s">
        <v>53</v>
      </c>
    </row>
    <row r="5" spans="1:1" ht="31.5" x14ac:dyDescent="0.5">
      <c r="A5" s="29" t="s">
        <v>58</v>
      </c>
    </row>
    <row r="6" spans="1:1" ht="27" customHeight="1" x14ac:dyDescent="0.5">
      <c r="A6" s="29"/>
    </row>
    <row r="7" spans="1:1" ht="21" customHeight="1" x14ac:dyDescent="0.2">
      <c r="A7" s="30" t="s">
        <v>54</v>
      </c>
    </row>
    <row r="8" spans="1:1" ht="21" customHeight="1" x14ac:dyDescent="0.2">
      <c r="A8" s="30" t="s">
        <v>55</v>
      </c>
    </row>
    <row r="9" spans="1:1" ht="21" customHeight="1" x14ac:dyDescent="0.2">
      <c r="A9" s="30" t="s">
        <v>56</v>
      </c>
    </row>
    <row r="10" spans="1:1" ht="21" customHeight="1" x14ac:dyDescent="0.2">
      <c r="A10" s="30"/>
    </row>
    <row r="11" spans="1:1" ht="21" customHeight="1" x14ac:dyDescent="0.2">
      <c r="A11" s="32" t="s">
        <v>59</v>
      </c>
    </row>
    <row r="12" spans="1:1" ht="21" customHeight="1" x14ac:dyDescent="0.2">
      <c r="A12" s="32" t="s">
        <v>60</v>
      </c>
    </row>
    <row r="13" spans="1:1" ht="21" customHeight="1" x14ac:dyDescent="0.2">
      <c r="A13" s="32" t="s">
        <v>61</v>
      </c>
    </row>
    <row r="14" spans="1:1" ht="21" customHeight="1" x14ac:dyDescent="0.2">
      <c r="A14" s="32" t="s">
        <v>62</v>
      </c>
    </row>
    <row r="15" spans="1:1" ht="21" customHeight="1" x14ac:dyDescent="0.2">
      <c r="A15" s="31"/>
    </row>
    <row r="16" spans="1:1" ht="21" customHeight="1" x14ac:dyDescent="0.2">
      <c r="A16" s="30" t="s">
        <v>57</v>
      </c>
    </row>
    <row r="17" ht="21" customHeight="1" x14ac:dyDescent="0.2"/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B72E-3B17-40B7-9EE0-F652F8B34FAE}">
  <sheetPr codeName="Sheet1"/>
  <dimension ref="A1:M8"/>
  <sheetViews>
    <sheetView showGridLines="0" zoomScale="160" zoomScaleNormal="160" workbookViewId="0">
      <selection activeCell="I4" sqref="I4"/>
    </sheetView>
  </sheetViews>
  <sheetFormatPr defaultRowHeight="15.75" x14ac:dyDescent="0.2"/>
  <cols>
    <col min="1" max="1" width="12.28515625" style="1" customWidth="1"/>
    <col min="2" max="13" width="5.5703125" style="4" customWidth="1"/>
    <col min="14" max="16384" width="9.140625" style="1"/>
  </cols>
  <sheetData>
    <row r="1" spans="1:13" x14ac:dyDescent="0.2"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</row>
    <row r="2" spans="1:13" ht="19.5" x14ac:dyDescent="0.2">
      <c r="A2" s="3" t="s">
        <v>8</v>
      </c>
      <c r="B2" s="5"/>
      <c r="C2" s="6"/>
      <c r="D2" s="7"/>
      <c r="E2" s="7"/>
      <c r="F2" s="7"/>
      <c r="G2" s="7"/>
      <c r="H2" s="6" t="s">
        <v>16</v>
      </c>
      <c r="I2" s="5"/>
      <c r="J2" s="7"/>
      <c r="K2" s="7"/>
      <c r="L2" s="6"/>
      <c r="M2" s="5"/>
    </row>
    <row r="3" spans="1:13" ht="19.5" x14ac:dyDescent="0.2">
      <c r="A3" s="3" t="s">
        <v>9</v>
      </c>
      <c r="B3" s="5"/>
      <c r="C3" s="7"/>
      <c r="D3" s="6"/>
      <c r="E3" s="7"/>
      <c r="F3" s="7"/>
      <c r="G3" s="6"/>
      <c r="H3" s="5"/>
      <c r="I3" s="5"/>
      <c r="J3" s="7"/>
      <c r="K3" s="6" t="s">
        <v>16</v>
      </c>
      <c r="L3" s="5"/>
      <c r="M3" s="5"/>
    </row>
    <row r="4" spans="1:13" ht="19.5" x14ac:dyDescent="0.2">
      <c r="A4" s="3" t="s">
        <v>10</v>
      </c>
      <c r="B4" s="5"/>
      <c r="C4" s="7"/>
      <c r="D4" s="6"/>
      <c r="E4" s="7"/>
      <c r="F4" s="7"/>
      <c r="G4" s="6"/>
      <c r="H4" s="5"/>
      <c r="I4" s="6" t="s">
        <v>16</v>
      </c>
      <c r="J4" s="7"/>
      <c r="K4" s="8"/>
      <c r="L4" s="5"/>
      <c r="M4" s="5"/>
    </row>
    <row r="5" spans="1:13" ht="19.5" x14ac:dyDescent="0.2">
      <c r="A5" s="3" t="s">
        <v>11</v>
      </c>
      <c r="B5" s="5"/>
      <c r="C5" s="7"/>
      <c r="D5" s="7"/>
      <c r="E5" s="7"/>
      <c r="F5" s="6"/>
      <c r="G5" s="7"/>
      <c r="H5" s="5"/>
      <c r="I5" s="5"/>
      <c r="J5" s="6" t="s">
        <v>16</v>
      </c>
      <c r="K5" s="7"/>
      <c r="L5" s="5"/>
      <c r="M5" s="5"/>
    </row>
    <row r="6" spans="1:13" ht="19.5" x14ac:dyDescent="0.2">
      <c r="A6" s="3" t="s">
        <v>12</v>
      </c>
      <c r="B6" s="5"/>
      <c r="C6" s="7"/>
      <c r="D6" s="7"/>
      <c r="E6" s="6" t="s">
        <v>16</v>
      </c>
      <c r="F6" s="7"/>
      <c r="G6" s="7"/>
      <c r="H6" s="5"/>
      <c r="I6" s="5"/>
      <c r="J6" s="7"/>
      <c r="K6" s="7"/>
      <c r="L6" s="5"/>
      <c r="M6" s="5"/>
    </row>
    <row r="7" spans="1:13" ht="19.5" x14ac:dyDescent="0.2">
      <c r="A7" s="3" t="s">
        <v>13</v>
      </c>
      <c r="B7" s="5"/>
      <c r="C7" s="7"/>
      <c r="D7" s="7"/>
      <c r="E7" s="6"/>
      <c r="F7" s="6" t="s">
        <v>16</v>
      </c>
      <c r="G7" s="7"/>
      <c r="H7" s="5"/>
      <c r="I7" s="5"/>
      <c r="J7" s="6" t="s">
        <v>16</v>
      </c>
      <c r="K7" s="7"/>
      <c r="L7" s="5"/>
      <c r="M7" s="5"/>
    </row>
    <row r="8" spans="1:13" ht="19.5" x14ac:dyDescent="0.2">
      <c r="A8" s="3" t="s">
        <v>14</v>
      </c>
      <c r="B8" s="5"/>
      <c r="C8" s="7"/>
      <c r="D8" s="7"/>
      <c r="E8" s="7"/>
      <c r="F8" s="7"/>
      <c r="G8" s="7"/>
      <c r="H8" s="6"/>
      <c r="I8" s="5"/>
      <c r="J8" s="7"/>
      <c r="K8" s="7"/>
      <c r="L8" s="6" t="s">
        <v>16</v>
      </c>
      <c r="M8" s="5"/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1B31-D891-4965-98DB-7D69DDF052EE}">
  <sheetPr codeName="Sheet2"/>
  <dimension ref="A1:K45"/>
  <sheetViews>
    <sheetView showGridLines="0" zoomScaleNormal="100" workbookViewId="0">
      <selection activeCell="C1" sqref="C1:C1048576"/>
    </sheetView>
  </sheetViews>
  <sheetFormatPr defaultRowHeight="18.75" x14ac:dyDescent="0.3"/>
  <cols>
    <col min="1" max="1" width="9.42578125" style="26" bestFit="1" customWidth="1"/>
    <col min="2" max="2" width="7.140625" style="11" customWidth="1"/>
    <col min="3" max="3" width="12.42578125" style="11" customWidth="1"/>
    <col min="4" max="4" width="16.28515625" style="11" customWidth="1"/>
    <col min="5" max="5" width="18.28515625" style="11" customWidth="1"/>
    <col min="6" max="6" width="28.7109375" style="11" customWidth="1"/>
    <col min="7" max="7" width="13.140625" style="11" bestFit="1" customWidth="1"/>
    <col min="8" max="16384" width="9.140625" style="11"/>
  </cols>
  <sheetData>
    <row r="1" spans="1:11" ht="19.5" thickBot="1" x14ac:dyDescent="0.35">
      <c r="A1" s="9" t="s">
        <v>48</v>
      </c>
      <c r="B1" s="10" t="s">
        <v>17</v>
      </c>
      <c r="C1" s="10" t="s">
        <v>27</v>
      </c>
      <c r="D1" s="10" t="s">
        <v>18</v>
      </c>
      <c r="G1" s="12"/>
      <c r="J1" s="11" t="s">
        <v>49</v>
      </c>
      <c r="K1" s="11" t="s">
        <v>50</v>
      </c>
    </row>
    <row r="2" spans="1:11" ht="19.5" thickTop="1" x14ac:dyDescent="0.3">
      <c r="A2" s="13" t="s">
        <v>28</v>
      </c>
      <c r="B2" s="14">
        <v>0</v>
      </c>
      <c r="C2" s="14">
        <f>SUM($B$2:B2)</f>
        <v>0</v>
      </c>
      <c r="D2" s="15">
        <f>C2/$B$22</f>
        <v>0</v>
      </c>
      <c r="E2" s="11" t="str">
        <f ca="1">_xlfn.FORMULATEXT(D2)</f>
        <v>=C2/$B$22</v>
      </c>
      <c r="G2" s="16"/>
    </row>
    <row r="3" spans="1:11" x14ac:dyDescent="0.3">
      <c r="A3" s="13" t="s">
        <v>29</v>
      </c>
      <c r="B3" s="14">
        <v>0</v>
      </c>
      <c r="C3" s="14">
        <f>SUM($B$2:B3)</f>
        <v>0</v>
      </c>
      <c r="D3" s="15">
        <f t="shared" ref="D3:D21" si="0">C3/$B$22</f>
        <v>0</v>
      </c>
      <c r="E3" s="11" t="str">
        <f t="shared" ref="E3:E21" ca="1" si="1">_xlfn.FORMULATEXT(D3)</f>
        <v>=C3/$B$22</v>
      </c>
    </row>
    <row r="4" spans="1:11" x14ac:dyDescent="0.3">
      <c r="A4" s="13" t="s">
        <v>30</v>
      </c>
      <c r="B4" s="14">
        <v>4</v>
      </c>
      <c r="C4" s="14">
        <f>SUM($B$2:B4)</f>
        <v>4</v>
      </c>
      <c r="D4" s="15">
        <f t="shared" si="0"/>
        <v>1.6877637130801686E-2</v>
      </c>
      <c r="E4" s="11" t="str">
        <f t="shared" ca="1" si="1"/>
        <v>=C4/$B$22</v>
      </c>
    </row>
    <row r="5" spans="1:11" x14ac:dyDescent="0.3">
      <c r="A5" s="13" t="s">
        <v>31</v>
      </c>
      <c r="B5" s="14">
        <v>15</v>
      </c>
      <c r="C5" s="14">
        <f>SUM($B$2:B5)</f>
        <v>19</v>
      </c>
      <c r="D5" s="15">
        <f t="shared" si="0"/>
        <v>8.0168776371308023E-2</v>
      </c>
      <c r="E5" s="11" t="str">
        <f t="shared" ca="1" si="1"/>
        <v>=C5/$B$22</v>
      </c>
    </row>
    <row r="6" spans="1:11" x14ac:dyDescent="0.3">
      <c r="A6" s="13" t="s">
        <v>32</v>
      </c>
      <c r="B6" s="14">
        <v>34</v>
      </c>
      <c r="C6" s="14">
        <f>SUM($B$2:B6)</f>
        <v>53</v>
      </c>
      <c r="D6" s="15">
        <f t="shared" si="0"/>
        <v>0.22362869198312235</v>
      </c>
      <c r="E6" s="11" t="str">
        <f t="shared" ca="1" si="1"/>
        <v>=C6/$B$22</v>
      </c>
    </row>
    <row r="7" spans="1:11" x14ac:dyDescent="0.3">
      <c r="A7" s="13" t="s">
        <v>33</v>
      </c>
      <c r="B7" s="14">
        <v>45</v>
      </c>
      <c r="C7" s="14">
        <f>SUM($B$2:B7)</f>
        <v>98</v>
      </c>
      <c r="D7" s="15">
        <f t="shared" si="0"/>
        <v>0.41350210970464135</v>
      </c>
      <c r="E7" s="11" t="str">
        <f t="shared" ca="1" si="1"/>
        <v>=C7/$B$22</v>
      </c>
    </row>
    <row r="8" spans="1:11" x14ac:dyDescent="0.3">
      <c r="A8" s="13" t="s">
        <v>34</v>
      </c>
      <c r="B8" s="14">
        <v>46</v>
      </c>
      <c r="C8" s="14">
        <f>SUM($B$2:B8)</f>
        <v>144</v>
      </c>
      <c r="D8" s="15">
        <f t="shared" si="0"/>
        <v>0.60759493670886078</v>
      </c>
      <c r="E8" s="11" t="str">
        <f t="shared" ca="1" si="1"/>
        <v>=C8/$B$22</v>
      </c>
    </row>
    <row r="9" spans="1:11" x14ac:dyDescent="0.3">
      <c r="A9" s="17" t="s">
        <v>35</v>
      </c>
      <c r="B9" s="18">
        <v>45</v>
      </c>
      <c r="C9" s="18">
        <f>SUM($B$2:B9)</f>
        <v>189</v>
      </c>
      <c r="D9" s="19">
        <f t="shared" si="0"/>
        <v>0.79746835443037978</v>
      </c>
      <c r="E9" s="11" t="str">
        <f t="shared" ca="1" si="1"/>
        <v>=C9/$B$22</v>
      </c>
    </row>
    <row r="10" spans="1:11" x14ac:dyDescent="0.3">
      <c r="A10" s="13" t="s">
        <v>36</v>
      </c>
      <c r="B10" s="14">
        <v>16</v>
      </c>
      <c r="C10" s="14">
        <f>SUM($B$2:B10)</f>
        <v>205</v>
      </c>
      <c r="D10" s="15">
        <f t="shared" si="0"/>
        <v>0.86497890295358648</v>
      </c>
      <c r="E10" s="11" t="str">
        <f t="shared" ca="1" si="1"/>
        <v>=C10/$B$22</v>
      </c>
    </row>
    <row r="11" spans="1:11" x14ac:dyDescent="0.3">
      <c r="A11" s="13" t="s">
        <v>37</v>
      </c>
      <c r="B11" s="14">
        <v>10</v>
      </c>
      <c r="C11" s="14">
        <f>SUM($B$2:B11)</f>
        <v>215</v>
      </c>
      <c r="D11" s="15">
        <f t="shared" si="0"/>
        <v>0.90717299578059074</v>
      </c>
      <c r="E11" s="11" t="str">
        <f t="shared" ca="1" si="1"/>
        <v>=C11/$B$22</v>
      </c>
    </row>
    <row r="12" spans="1:11" x14ac:dyDescent="0.3">
      <c r="A12" s="17" t="s">
        <v>38</v>
      </c>
      <c r="B12" s="18">
        <v>9</v>
      </c>
      <c r="C12" s="18">
        <f>SUM($B$2:B12)</f>
        <v>224</v>
      </c>
      <c r="D12" s="19">
        <f t="shared" si="0"/>
        <v>0.94514767932489452</v>
      </c>
      <c r="E12" s="11" t="str">
        <f t="shared" ca="1" si="1"/>
        <v>=C12/$B$22</v>
      </c>
    </row>
    <row r="13" spans="1:11" x14ac:dyDescent="0.3">
      <c r="A13" s="13" t="s">
        <v>39</v>
      </c>
      <c r="B13" s="14">
        <v>6</v>
      </c>
      <c r="C13" s="14">
        <f>SUM($B$2:B13)</f>
        <v>230</v>
      </c>
      <c r="D13" s="15">
        <f t="shared" si="0"/>
        <v>0.97046413502109707</v>
      </c>
      <c r="E13" s="11" t="str">
        <f t="shared" ca="1" si="1"/>
        <v>=C13/$B$22</v>
      </c>
    </row>
    <row r="14" spans="1:11" x14ac:dyDescent="0.3">
      <c r="A14" s="13" t="s">
        <v>40</v>
      </c>
      <c r="B14" s="14">
        <v>3</v>
      </c>
      <c r="C14" s="14">
        <f>SUM($B$2:B14)</f>
        <v>233</v>
      </c>
      <c r="D14" s="15">
        <f t="shared" si="0"/>
        <v>0.9831223628691983</v>
      </c>
      <c r="E14" s="11" t="str">
        <f t="shared" ca="1" si="1"/>
        <v>=C14/$B$22</v>
      </c>
    </row>
    <row r="15" spans="1:11" x14ac:dyDescent="0.3">
      <c r="A15" s="13" t="s">
        <v>41</v>
      </c>
      <c r="B15" s="14">
        <v>2</v>
      </c>
      <c r="C15" s="14">
        <f>SUM($B$2:B15)</f>
        <v>235</v>
      </c>
      <c r="D15" s="15">
        <f t="shared" si="0"/>
        <v>0.99156118143459915</v>
      </c>
      <c r="E15" s="11" t="str">
        <f t="shared" ca="1" si="1"/>
        <v>=C15/$B$22</v>
      </c>
    </row>
    <row r="16" spans="1:11" x14ac:dyDescent="0.3">
      <c r="A16" s="13" t="s">
        <v>42</v>
      </c>
      <c r="B16" s="14">
        <v>1</v>
      </c>
      <c r="C16" s="14">
        <f>SUM($B$2:B16)</f>
        <v>236</v>
      </c>
      <c r="D16" s="15">
        <f t="shared" si="0"/>
        <v>0.99578059071729963</v>
      </c>
      <c r="E16" s="11" t="str">
        <f t="shared" ca="1" si="1"/>
        <v>=C16/$B$22</v>
      </c>
    </row>
    <row r="17" spans="1:5" x14ac:dyDescent="0.3">
      <c r="A17" s="13" t="s">
        <v>43</v>
      </c>
      <c r="B17" s="14">
        <v>1</v>
      </c>
      <c r="C17" s="14">
        <f>SUM($B$2:B17)</f>
        <v>237</v>
      </c>
      <c r="D17" s="15">
        <f t="shared" si="0"/>
        <v>1</v>
      </c>
      <c r="E17" s="11" t="str">
        <f t="shared" ca="1" si="1"/>
        <v>=C17/$B$22</v>
      </c>
    </row>
    <row r="18" spans="1:5" x14ac:dyDescent="0.3">
      <c r="A18" s="13" t="s">
        <v>44</v>
      </c>
      <c r="B18" s="14">
        <v>0</v>
      </c>
      <c r="C18" s="14">
        <f>SUM($B$2:B18)</f>
        <v>237</v>
      </c>
      <c r="D18" s="15">
        <f t="shared" si="0"/>
        <v>1</v>
      </c>
      <c r="E18" s="11" t="str">
        <f t="shared" ca="1" si="1"/>
        <v>=C18/$B$22</v>
      </c>
    </row>
    <row r="19" spans="1:5" x14ac:dyDescent="0.3">
      <c r="A19" s="13" t="s">
        <v>45</v>
      </c>
      <c r="B19" s="20">
        <v>0</v>
      </c>
      <c r="C19" s="14">
        <f>SUM($B$2:B19)</f>
        <v>237</v>
      </c>
      <c r="D19" s="15">
        <f t="shared" si="0"/>
        <v>1</v>
      </c>
      <c r="E19" s="11" t="str">
        <f t="shared" ca="1" si="1"/>
        <v>=C19/$B$22</v>
      </c>
    </row>
    <row r="20" spans="1:5" x14ac:dyDescent="0.3">
      <c r="A20" s="13" t="s">
        <v>46</v>
      </c>
      <c r="B20" s="20">
        <v>0</v>
      </c>
      <c r="C20" s="14">
        <f>SUM($B$2:B20)</f>
        <v>237</v>
      </c>
      <c r="D20" s="15">
        <f t="shared" si="0"/>
        <v>1</v>
      </c>
      <c r="E20" s="11" t="str">
        <f t="shared" ca="1" si="1"/>
        <v>=C20/$B$22</v>
      </c>
    </row>
    <row r="21" spans="1:5" x14ac:dyDescent="0.3">
      <c r="A21" s="13" t="s">
        <v>47</v>
      </c>
      <c r="B21" s="20">
        <v>0</v>
      </c>
      <c r="C21" s="14">
        <f>SUM($B$2:B21)</f>
        <v>237</v>
      </c>
      <c r="D21" s="15">
        <f t="shared" si="0"/>
        <v>1</v>
      </c>
      <c r="E21" s="11" t="str">
        <f t="shared" ca="1" si="1"/>
        <v>=C21/$B$22</v>
      </c>
    </row>
    <row r="22" spans="1:5" x14ac:dyDescent="0.3">
      <c r="A22" s="21" t="s">
        <v>22</v>
      </c>
      <c r="B22" s="22">
        <f>SUM(B2:B21)</f>
        <v>237</v>
      </c>
      <c r="C22" s="23"/>
      <c r="D22" s="24"/>
    </row>
    <row r="30" spans="1:5" ht="37.5" x14ac:dyDescent="0.3">
      <c r="A30" s="25" t="s">
        <v>0</v>
      </c>
    </row>
    <row r="31" spans="1:5" ht="37.5" x14ac:dyDescent="0.3">
      <c r="A31" s="25" t="s">
        <v>1</v>
      </c>
    </row>
    <row r="32" spans="1:5" ht="37.5" x14ac:dyDescent="0.3">
      <c r="A32" s="25" t="s">
        <v>2</v>
      </c>
    </row>
    <row r="33" spans="1:1" ht="37.5" x14ac:dyDescent="0.3">
      <c r="A33" s="25" t="s">
        <v>15</v>
      </c>
    </row>
    <row r="34" spans="1:1" ht="37.5" x14ac:dyDescent="0.3">
      <c r="A34" s="25" t="s">
        <v>3</v>
      </c>
    </row>
    <row r="35" spans="1:1" ht="37.5" x14ac:dyDescent="0.3">
      <c r="A35" s="25" t="s">
        <v>4</v>
      </c>
    </row>
    <row r="36" spans="1:1" ht="37.5" x14ac:dyDescent="0.3">
      <c r="A36" s="25" t="s">
        <v>5</v>
      </c>
    </row>
    <row r="37" spans="1:1" ht="37.5" x14ac:dyDescent="0.3">
      <c r="A37" s="25" t="s">
        <v>6</v>
      </c>
    </row>
    <row r="38" spans="1:1" ht="37.5" x14ac:dyDescent="0.3">
      <c r="A38" s="25" t="s">
        <v>7</v>
      </c>
    </row>
    <row r="39" spans="1:1" ht="37.5" x14ac:dyDescent="0.3">
      <c r="A39" s="25" t="s">
        <v>23</v>
      </c>
    </row>
    <row r="40" spans="1:1" ht="37.5" x14ac:dyDescent="0.3">
      <c r="A40" s="25" t="s">
        <v>24</v>
      </c>
    </row>
    <row r="41" spans="1:1" ht="37.5" x14ac:dyDescent="0.3">
      <c r="A41" s="25" t="s">
        <v>19</v>
      </c>
    </row>
    <row r="42" spans="1:1" ht="37.5" x14ac:dyDescent="0.3">
      <c r="A42" s="25" t="s">
        <v>20</v>
      </c>
    </row>
    <row r="43" spans="1:1" ht="37.5" x14ac:dyDescent="0.3">
      <c r="A43" s="25" t="s">
        <v>25</v>
      </c>
    </row>
    <row r="44" spans="1:1" ht="37.5" x14ac:dyDescent="0.3">
      <c r="A44" s="25" t="s">
        <v>26</v>
      </c>
    </row>
    <row r="45" spans="1:1" ht="37.5" x14ac:dyDescent="0.3">
      <c r="A45" s="25" t="s">
        <v>21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A67D-8B96-4509-BA36-9C8423AA31BD}">
  <sheetPr codeName="Sheet3"/>
  <dimension ref="A1:F45"/>
  <sheetViews>
    <sheetView showGridLines="0" tabSelected="1" workbookViewId="0">
      <selection sqref="A1:C21"/>
    </sheetView>
  </sheetViews>
  <sheetFormatPr defaultRowHeight="18.75" x14ac:dyDescent="0.3"/>
  <cols>
    <col min="1" max="1" width="9.42578125" style="26" bestFit="1" customWidth="1"/>
    <col min="2" max="2" width="7.140625" style="11" customWidth="1"/>
    <col min="3" max="3" width="16.28515625" style="11" customWidth="1"/>
    <col min="4" max="4" width="43" style="11" bestFit="1" customWidth="1"/>
    <col min="5" max="5" width="28.7109375" style="11" customWidth="1"/>
    <col min="6" max="6" width="13.140625" style="11" bestFit="1" customWidth="1"/>
    <col min="7" max="16384" width="9.140625" style="11"/>
  </cols>
  <sheetData>
    <row r="1" spans="1:6" ht="19.5" thickBot="1" x14ac:dyDescent="0.35">
      <c r="A1" s="9" t="s">
        <v>48</v>
      </c>
      <c r="B1" s="10" t="s">
        <v>17</v>
      </c>
      <c r="C1" s="10" t="s">
        <v>18</v>
      </c>
      <c r="F1" s="12"/>
    </row>
    <row r="2" spans="1:6" ht="19.5" thickTop="1" x14ac:dyDescent="0.3">
      <c r="A2" s="13" t="s">
        <v>28</v>
      </c>
      <c r="B2" s="14">
        <v>0</v>
      </c>
      <c r="C2" s="15">
        <f>SUM($B$2:B2)/$B$22</f>
        <v>0</v>
      </c>
      <c r="D2" s="11" t="str">
        <f ca="1">_xlfn.FORMULATEXT(C2)</f>
        <v>=SUM($B$2:B2)/$B$22</v>
      </c>
      <c r="F2" s="16"/>
    </row>
    <row r="3" spans="1:6" x14ac:dyDescent="0.3">
      <c r="A3" s="13" t="s">
        <v>29</v>
      </c>
      <c r="B3" s="14">
        <v>0</v>
      </c>
      <c r="C3" s="15">
        <f>SUM($B$2:B3)/$B$22</f>
        <v>0</v>
      </c>
      <c r="D3" s="11" t="str">
        <f t="shared" ref="D3:D21" ca="1" si="0">_xlfn.FORMULATEXT(C3)</f>
        <v>=SUM($B$2:B3)/$B$22</v>
      </c>
    </row>
    <row r="4" spans="1:6" x14ac:dyDescent="0.3">
      <c r="A4" s="13" t="s">
        <v>30</v>
      </c>
      <c r="B4" s="14">
        <v>4</v>
      </c>
      <c r="C4" s="15">
        <f>SUM($B$2:B4)/$B$22</f>
        <v>1.6877637130801686E-2</v>
      </c>
      <c r="D4" s="11" t="str">
        <f t="shared" ca="1" si="0"/>
        <v>=SUM($B$2:B4)/$B$22</v>
      </c>
    </row>
    <row r="5" spans="1:6" x14ac:dyDescent="0.3">
      <c r="A5" s="13" t="s">
        <v>31</v>
      </c>
      <c r="B5" s="14">
        <v>15</v>
      </c>
      <c r="C5" s="15">
        <f>SUM($B$2:B5)/$B$22</f>
        <v>8.0168776371308023E-2</v>
      </c>
      <c r="D5" s="11" t="str">
        <f t="shared" ca="1" si="0"/>
        <v>=SUM($B$2:B5)/$B$22</v>
      </c>
    </row>
    <row r="6" spans="1:6" x14ac:dyDescent="0.3">
      <c r="A6" s="13" t="s">
        <v>32</v>
      </c>
      <c r="B6" s="14">
        <v>34</v>
      </c>
      <c r="C6" s="15">
        <f>SUM($B$2:B6)/$B$22</f>
        <v>0.22362869198312235</v>
      </c>
      <c r="D6" s="11" t="str">
        <f t="shared" ca="1" si="0"/>
        <v>=SUM($B$2:B6)/$B$22</v>
      </c>
    </row>
    <row r="7" spans="1:6" x14ac:dyDescent="0.3">
      <c r="A7" s="13" t="s">
        <v>33</v>
      </c>
      <c r="B7" s="14">
        <v>45</v>
      </c>
      <c r="C7" s="15">
        <f>SUM($B$2:B7)/$B$22</f>
        <v>0.41350210970464135</v>
      </c>
      <c r="D7" s="11" t="str">
        <f t="shared" ca="1" si="0"/>
        <v>=SUM($B$2:B7)/$B$22</v>
      </c>
    </row>
    <row r="8" spans="1:6" x14ac:dyDescent="0.3">
      <c r="A8" s="13" t="s">
        <v>34</v>
      </c>
      <c r="B8" s="14">
        <v>46</v>
      </c>
      <c r="C8" s="15">
        <f>SUM($B$2:B8)/$B$22</f>
        <v>0.60759493670886078</v>
      </c>
      <c r="D8" s="11" t="str">
        <f t="shared" ca="1" si="0"/>
        <v>=SUM($B$2:B8)/$B$22</v>
      </c>
    </row>
    <row r="9" spans="1:6" x14ac:dyDescent="0.3">
      <c r="A9" s="17" t="s">
        <v>35</v>
      </c>
      <c r="B9" s="18">
        <v>45</v>
      </c>
      <c r="C9" s="19">
        <f>SUM($B$2:B9)/$B$22</f>
        <v>0.79746835443037978</v>
      </c>
      <c r="D9" s="11" t="str">
        <f t="shared" ca="1" si="0"/>
        <v>=SUM($B$2:B9)/$B$22</v>
      </c>
    </row>
    <row r="10" spans="1:6" x14ac:dyDescent="0.3">
      <c r="A10" s="13" t="s">
        <v>36</v>
      </c>
      <c r="B10" s="14">
        <v>16</v>
      </c>
      <c r="C10" s="15">
        <f>SUM($B$2:B10)/$B$22</f>
        <v>0.86497890295358648</v>
      </c>
      <c r="D10" s="11" t="str">
        <f t="shared" ca="1" si="0"/>
        <v>=SUM($B$2:B10)/$B$22</v>
      </c>
    </row>
    <row r="11" spans="1:6" x14ac:dyDescent="0.3">
      <c r="A11" s="13" t="s">
        <v>37</v>
      </c>
      <c r="B11" s="14">
        <v>10</v>
      </c>
      <c r="C11" s="15">
        <f>SUM($B$2:B11)/$B$22</f>
        <v>0.90717299578059074</v>
      </c>
      <c r="D11" s="11" t="str">
        <f t="shared" ca="1" si="0"/>
        <v>=SUM($B$2:B11)/$B$22</v>
      </c>
    </row>
    <row r="12" spans="1:6" x14ac:dyDescent="0.3">
      <c r="A12" s="17" t="s">
        <v>38</v>
      </c>
      <c r="B12" s="18">
        <v>9</v>
      </c>
      <c r="C12" s="19">
        <f>SUM($B$2:B12)/$B$22</f>
        <v>0.94514767932489452</v>
      </c>
      <c r="D12" s="11" t="str">
        <f t="shared" ca="1" si="0"/>
        <v>=SUM($B$2:B12)/$B$22</v>
      </c>
    </row>
    <row r="13" spans="1:6" x14ac:dyDescent="0.3">
      <c r="A13" s="13" t="s">
        <v>39</v>
      </c>
      <c r="B13" s="14">
        <v>6</v>
      </c>
      <c r="C13" s="15">
        <f>SUM($B$2:B13)/$B$22</f>
        <v>0.97046413502109707</v>
      </c>
      <c r="D13" s="11" t="str">
        <f t="shared" ca="1" si="0"/>
        <v>=SUM($B$2:B13)/$B$22</v>
      </c>
    </row>
    <row r="14" spans="1:6" x14ac:dyDescent="0.3">
      <c r="A14" s="13" t="s">
        <v>40</v>
      </c>
      <c r="B14" s="14">
        <v>3</v>
      </c>
      <c r="C14" s="15">
        <f>SUM($B$2:B14)/$B$22</f>
        <v>0.9831223628691983</v>
      </c>
      <c r="D14" s="11" t="str">
        <f t="shared" ca="1" si="0"/>
        <v>=SUM($B$2:B14)/$B$22</v>
      </c>
    </row>
    <row r="15" spans="1:6" x14ac:dyDescent="0.3">
      <c r="A15" s="13" t="s">
        <v>41</v>
      </c>
      <c r="B15" s="14">
        <v>2</v>
      </c>
      <c r="C15" s="15">
        <f>SUM($B$2:B15)/$B$22</f>
        <v>0.99156118143459915</v>
      </c>
      <c r="D15" s="11" t="str">
        <f t="shared" ca="1" si="0"/>
        <v>=SUM($B$2:B15)/$B$22</v>
      </c>
    </row>
    <row r="16" spans="1:6" x14ac:dyDescent="0.3">
      <c r="A16" s="13" t="s">
        <v>42</v>
      </c>
      <c r="B16" s="14">
        <v>1</v>
      </c>
      <c r="C16" s="15">
        <f>SUM($B$2:B16)/$B$22</f>
        <v>0.99578059071729963</v>
      </c>
      <c r="D16" s="11" t="str">
        <f t="shared" ca="1" si="0"/>
        <v>=SUM($B$2:B16)/$B$22</v>
      </c>
    </row>
    <row r="17" spans="1:4" x14ac:dyDescent="0.3">
      <c r="A17" s="13" t="s">
        <v>43</v>
      </c>
      <c r="B17" s="14">
        <v>1</v>
      </c>
      <c r="C17" s="15">
        <f>SUM($B$2:B17)/$B$22</f>
        <v>1</v>
      </c>
      <c r="D17" s="11" t="str">
        <f t="shared" ca="1" si="0"/>
        <v>=SUM($B$2:B17)/$B$22</v>
      </c>
    </row>
    <row r="18" spans="1:4" x14ac:dyDescent="0.3">
      <c r="A18" s="13" t="s">
        <v>44</v>
      </c>
      <c r="B18" s="14">
        <v>0</v>
      </c>
      <c r="C18" s="15">
        <f>SUM($B$2:B18)/$B$22</f>
        <v>1</v>
      </c>
      <c r="D18" s="11" t="str">
        <f t="shared" ca="1" si="0"/>
        <v>=SUM($B$2:B18)/$B$22</v>
      </c>
    </row>
    <row r="19" spans="1:4" x14ac:dyDescent="0.3">
      <c r="A19" s="13" t="s">
        <v>45</v>
      </c>
      <c r="B19" s="20">
        <v>0</v>
      </c>
      <c r="C19" s="15">
        <f>SUM($B$2:B19)/$B$22</f>
        <v>1</v>
      </c>
      <c r="D19" s="11" t="str">
        <f t="shared" ca="1" si="0"/>
        <v>=SUM($B$2:B19)/$B$22</v>
      </c>
    </row>
    <row r="20" spans="1:4" x14ac:dyDescent="0.3">
      <c r="A20" s="13" t="s">
        <v>46</v>
      </c>
      <c r="B20" s="20">
        <v>0</v>
      </c>
      <c r="C20" s="15">
        <f>SUM($B$2:B20)/$B$22</f>
        <v>1</v>
      </c>
      <c r="D20" s="11" t="str">
        <f t="shared" ca="1" si="0"/>
        <v>=SUM($B$2:B20)/$B$22</v>
      </c>
    </row>
    <row r="21" spans="1:4" x14ac:dyDescent="0.3">
      <c r="A21" s="13" t="s">
        <v>47</v>
      </c>
      <c r="B21" s="20">
        <v>0</v>
      </c>
      <c r="C21" s="15">
        <f>SUM($B$2:B21)/$B$22</f>
        <v>1</v>
      </c>
      <c r="D21" s="11" t="str">
        <f t="shared" ca="1" si="0"/>
        <v>=SUM($B$2:B21)/$B$22</v>
      </c>
    </row>
    <row r="22" spans="1:4" x14ac:dyDescent="0.3">
      <c r="A22" s="21" t="s">
        <v>22</v>
      </c>
      <c r="B22" s="22">
        <f>SUM(B2:B21)</f>
        <v>237</v>
      </c>
      <c r="C22" s="24"/>
    </row>
    <row r="30" spans="1:4" ht="37.5" x14ac:dyDescent="0.3">
      <c r="A30" s="25" t="s">
        <v>0</v>
      </c>
    </row>
    <row r="31" spans="1:4" ht="37.5" x14ac:dyDescent="0.3">
      <c r="A31" s="25" t="s">
        <v>1</v>
      </c>
    </row>
    <row r="32" spans="1:4" ht="37.5" x14ac:dyDescent="0.3">
      <c r="A32" s="25" t="s">
        <v>2</v>
      </c>
    </row>
    <row r="33" spans="1:1" ht="37.5" x14ac:dyDescent="0.3">
      <c r="A33" s="25" t="s">
        <v>15</v>
      </c>
    </row>
    <row r="34" spans="1:1" ht="37.5" x14ac:dyDescent="0.3">
      <c r="A34" s="25" t="s">
        <v>3</v>
      </c>
    </row>
    <row r="35" spans="1:1" ht="37.5" x14ac:dyDescent="0.3">
      <c r="A35" s="25" t="s">
        <v>4</v>
      </c>
    </row>
    <row r="36" spans="1:1" ht="37.5" x14ac:dyDescent="0.3">
      <c r="A36" s="25" t="s">
        <v>5</v>
      </c>
    </row>
    <row r="37" spans="1:1" ht="37.5" x14ac:dyDescent="0.3">
      <c r="A37" s="25" t="s">
        <v>6</v>
      </c>
    </row>
    <row r="38" spans="1:1" ht="37.5" x14ac:dyDescent="0.3">
      <c r="A38" s="25" t="s">
        <v>7</v>
      </c>
    </row>
    <row r="39" spans="1:1" ht="37.5" x14ac:dyDescent="0.3">
      <c r="A39" s="25" t="s">
        <v>23</v>
      </c>
    </row>
    <row r="40" spans="1:1" ht="37.5" x14ac:dyDescent="0.3">
      <c r="A40" s="25" t="s">
        <v>24</v>
      </c>
    </row>
    <row r="41" spans="1:1" ht="37.5" x14ac:dyDescent="0.3">
      <c r="A41" s="25" t="s">
        <v>19</v>
      </c>
    </row>
    <row r="42" spans="1:1" ht="37.5" x14ac:dyDescent="0.3">
      <c r="A42" s="25" t="s">
        <v>20</v>
      </c>
    </row>
    <row r="43" spans="1:1" ht="37.5" x14ac:dyDescent="0.3">
      <c r="A43" s="25" t="s">
        <v>25</v>
      </c>
    </row>
    <row r="44" spans="1:1" ht="37.5" x14ac:dyDescent="0.3">
      <c r="A44" s="25" t="s">
        <v>26</v>
      </c>
    </row>
    <row r="45" spans="1:1" ht="37.5" x14ac:dyDescent="0.3">
      <c r="A45" s="25" t="s">
        <v>21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 </vt:lpstr>
      <vt:lpstr>Delphi Card</vt:lpstr>
      <vt:lpstr>Delphi Table (Long Way)</vt:lpstr>
      <vt:lpstr>Delphi Table (Short Way)</vt:lpstr>
    </vt:vector>
  </TitlesOfParts>
  <Company>www.marginalbooks.com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Najjar</dc:creator>
  <cp:lastModifiedBy>Akram Najjar</cp:lastModifiedBy>
  <dcterms:created xsi:type="dcterms:W3CDTF">1996-10-14T23:33:28Z</dcterms:created>
  <dcterms:modified xsi:type="dcterms:W3CDTF">2024-06-15T08:39:07Z</dcterms:modified>
</cp:coreProperties>
</file>